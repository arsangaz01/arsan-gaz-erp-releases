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eg" ContentType="image/jpeg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drawings/drawing4.xml" ContentType="application/vnd.openxmlformats-officedocument.drawing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ables/table2.xml" ContentType="application/vnd.openxmlformats-officedocument.spreadsheetml.table+xml"/>
  <Override PartName="/xl/worksheets/sheet20.xml" ContentType="application/vnd.openxmlformats-officedocument.spreadsheetml.worksheet+xml"/>
  <Override PartName="/xl/tables/table3.xml" ContentType="application/vnd.openxmlformats-officedocument.spreadsheetml.table+xml"/>
  <Override PartName="/xl/worksheets/sheet21.xml" ContentType="application/vnd.openxmlformats-officedocument.spreadsheetml.worksheet+xml"/>
  <Override PartName="/xl/tables/table4.xml" ContentType="application/vnd.openxmlformats-officedocument.spreadsheetml.table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BuÇalışmaKitabı"/>
  <bookViews>
    <workbookView visibility="visible" minimized="0" showHorizontalScroll="1" showVerticalScroll="1" showSheetTabs="1" xWindow="1560" yWindow="1560" windowWidth="15375" windowHeight="7875" tabRatio="600" firstSheet="0" activeTab="0" autoFilterDateGrouping="1"/>
  </bookViews>
  <sheets>
    <sheet name="Teklif Formu" sheetId="1" state="visible" r:id="rId1"/>
    <sheet name="Urunler" sheetId="2" state="visible" r:id="rId2"/>
    <sheet name="Fatura" sheetId="3" state="visible" r:id="rId3"/>
    <sheet name="Analiz Özeti" sheetId="4" state="visible" r:id="rId4"/>
    <sheet name="Kur Bilgisi" sheetId="5" state="visible" r:id="rId5"/>
    <sheet name="VBA Kodu" sheetId="6" state="visible" r:id="rId6"/>
    <sheet name="PDF Kaydet" sheetId="7" state="visible" r:id="rId7"/>
    <sheet name="Outlook E-posta" sheetId="8" state="visible" r:id="rId8"/>
    <sheet name="Sistem Kontrolü" sheetId="9" state="visible" r:id="rId9"/>
    <sheet name="YDK_Sistem_Kontrolü_0927_1625" sheetId="10" state="hidden" r:id="rId10"/>
    <sheet name="YDK_Outlook_Eposta_0927_1625" sheetId="11" state="hidden" r:id="rId11"/>
    <sheet name="YDK_PDF_Kaydet_0927_1625" sheetId="12" state="hidden" r:id="rId12"/>
    <sheet name="YDK_VBA_Kodu_0927_1625" sheetId="13" state="hidden" r:id="rId13"/>
    <sheet name="YDK_Kur_Bilgisi_0927_1625" sheetId="14" state="hidden" r:id="rId14"/>
    <sheet name="YDK_Analiz_Özeti_0927_1625" sheetId="15" state="hidden" r:id="rId15"/>
    <sheet name="YDK_Urunler_0927_1625" sheetId="16" state="hidden" r:id="rId16"/>
    <sheet name="YDK_Teklif_Formu_0927_1625" sheetId="17" state="hidden" r:id="rId17"/>
    <sheet name="Ayarlar" sheetId="18" state="visible" r:id="rId18"/>
    <sheet name="Müşteriler" sheetId="19" state="visible" r:id="rId19"/>
    <sheet name="Teklif Arşivi" sheetId="20" state="visible" r:id="rId20"/>
    <sheet name="İşlem Günlüğü" sheetId="21" state="visible" r:id="rId21"/>
    <sheet name="Power Automate" sheetId="22" state="visible" r:id="rId22"/>
    <sheet name="Teklif Yönetimi" sheetId="23" state="visible" r:id="rId23"/>
    <sheet name="PDF VBA Kopyala" sheetId="24" state="visible" r:id="rId24"/>
    <sheet name="WhatsApp VBA Kopyala" sheetId="25" state="visible" r:id="rId25"/>
    <sheet name="Kurulum Rehberi" sheetId="26" state="visible" r:id="rId26"/>
    <sheet name="Kur VBA Kopyala" sheetId="27" state="visible" r:id="rId27"/>
    <sheet name="Outlook VBA Kopyala" sheetId="28" state="visible" r:id="rId28"/>
    <sheet name="Yönetim VBA Kopyala" sheetId="29" state="visible" r:id="rId29"/>
    <sheet name="ThisWorkbook Kodu" sheetId="30" state="visible" r:id="rId30"/>
    <sheet name="VBA Kurulum Merkezi" sheetId="31" state="visible" r:id="rId31"/>
    <sheet name="TEK VBA MODÜLÜ" sheetId="32" state="visible" r:id="rId32"/>
    <sheet name="VBA Otomatik Kurulum" sheetId="33" state="visible" r:id="rId33"/>
  </sheets>
  <definedNames>
    <definedName name="MusteriListesi">Müşteriler!$A$5:$A$500</definedName>
    <definedName name="UrunListesi">Urunler!$A$2:$A$1000</definedName>
    <definedName name="_xlnm.Print_Area" localSheetId="0">'Teklif Formu'!$A$1:$K$40</definedName>
    <definedName name="_xlnm.Print_Area" localSheetId="2">'Fatura'!$A$1:$K$40</definedName>
    <definedName name="_xlnm.Print_Area" localSheetId="16">'YDK_Teklif_Formu_0927_1625'!$A$1:$K$40</definedName>
  </definedNames>
  <calcPr calcId="191029" fullCalcOnLoad="1" forceFullCalc="1"/>
</workbook>
</file>

<file path=xl/styles.xml><?xml version="1.0" encoding="utf-8"?>
<styleSheet xmlns="http://schemas.openxmlformats.org/spreadsheetml/2006/main">
  <numFmts count="7">
    <numFmt numFmtId="164" formatCode="0.0000"/>
    <numFmt numFmtId="165" formatCode="dd\.mm\.yyyy\ hh:mm"/>
    <numFmt numFmtId="166" formatCode="dd/mm/yyyy"/>
    <numFmt numFmtId="167" formatCode="#,##0.00\ &quot;TL&quot;"/>
    <numFmt numFmtId="168" formatCode="dd/mm/yyyy\ hh:mm"/>
    <numFmt numFmtId="169" formatCode="0.0%"/>
    <numFmt numFmtId="170" formatCode="#,##0\ &quot;TL&quot;"/>
  </numFmts>
  <fonts count="53">
    <font>
      <name val="Calibri"/>
      <family val="2"/>
      <color theme="1"/>
      <sz val="11"/>
      <scheme val="minor"/>
    </font>
    <font>
      <name val="Aptos"/>
      <family val="2"/>
      <color theme="1"/>
      <sz val="10"/>
    </font>
    <font>
      <name val="Aptos"/>
      <family val="2"/>
      <b val="1"/>
      <color rgb="FFFFFFFF"/>
      <sz val="10"/>
    </font>
    <font>
      <name val="Aptos"/>
      <family val="2"/>
      <b val="1"/>
      <color rgb="FFFFFFFF"/>
      <sz val="20"/>
    </font>
    <font>
      <name val="Aptos"/>
      <family val="2"/>
      <i val="1"/>
      <color rgb="FF5B6573"/>
      <sz val="10"/>
    </font>
    <font>
      <name val="Aptos"/>
      <family val="2"/>
      <b val="1"/>
      <color theme="1"/>
      <sz val="10"/>
    </font>
    <font>
      <name val="Aptos"/>
      <family val="2"/>
      <b val="1"/>
      <color rgb="FF2F5597"/>
      <sz val="10"/>
    </font>
    <font>
      <name val="Aptos"/>
      <family val="2"/>
      <b val="1"/>
      <color theme="1"/>
      <sz val="17"/>
    </font>
    <font>
      <name val="Aptos"/>
      <family val="2"/>
      <b val="1"/>
      <color rgb="FF17365D"/>
      <sz val="10"/>
    </font>
    <font>
      <name val="Aptos"/>
      <family val="2"/>
      <b val="1"/>
      <color rgb="FFFFFFFF"/>
      <sz val="18"/>
    </font>
    <font>
      <name val="Aptos"/>
      <family val="2"/>
      <color rgb="FF7F6000"/>
      <sz val="10"/>
    </font>
    <font>
      <name val="Consolas"/>
      <charset val="162"/>
      <family val="3"/>
      <color theme="1"/>
      <sz val="9"/>
    </font>
    <font>
      <name val="Aptos"/>
      <family val="2"/>
      <b val="1"/>
      <color rgb="FFFFFFFF"/>
      <sz val="11"/>
    </font>
    <font>
      <name val="Aptos"/>
      <family val="2"/>
      <b val="1"/>
      <color rgb="FFFFFFFF"/>
      <sz val="12"/>
    </font>
    <font>
      <name val="Aptos"/>
      <family val="2"/>
      <b val="1"/>
      <color rgb="FFFFFFFF"/>
      <sz val="9"/>
    </font>
    <font>
      <name val="Aptos"/>
      <family val="2"/>
      <color theme="1"/>
      <sz val="11"/>
    </font>
    <font>
      <name val="Calibri"/>
      <family val="2"/>
      <b val="1"/>
      <color rgb="FFFFFFFF"/>
      <sz val="11"/>
      <scheme val="minor"/>
    </font>
    <font>
      <name val="Calibri"/>
      <family val="2"/>
      <b val="1"/>
      <color rgb="FFFFFFFF"/>
      <sz val="14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rgb="FF276221"/>
      <sz val="11"/>
      <scheme val="minor"/>
    </font>
    <font>
      <name val="Calibri"/>
      <family val="2"/>
      <color rgb="FF7F6000"/>
      <sz val="11"/>
      <scheme val="minor"/>
    </font>
    <font>
      <name val="Calibri"/>
      <family val="2"/>
      <b val="1"/>
      <color rgb="FF7F6000"/>
      <sz val="11"/>
      <scheme val="minor"/>
    </font>
    <font>
      <name val="Aptos"/>
      <family val="2"/>
      <color rgb="FF243447"/>
      <sz val="10"/>
    </font>
    <font>
      <name val="Aptos"/>
      <family val="2"/>
      <b val="1"/>
      <color rgb="FF243447"/>
      <sz val="10"/>
    </font>
    <font>
      <name val="Aptos"/>
      <family val="2"/>
      <i val="1"/>
      <color rgb="FF243447"/>
      <sz val="10"/>
    </font>
    <font>
      <name val="Aptos"/>
      <family val="2"/>
      <b val="1"/>
      <color rgb="FFFFFFFF"/>
      <sz val="22"/>
    </font>
    <font>
      <name val="Aptos"/>
      <family val="2"/>
      <i val="1"/>
      <color rgb="FF52616B"/>
      <sz val="10"/>
    </font>
    <font>
      <name val="Aptos"/>
      <family val="2"/>
      <i val="1"/>
      <color rgb="FF52616B"/>
      <sz val="8"/>
    </font>
    <font>
      <name val="Aptos"/>
      <family val="2"/>
      <color rgb="FF243447"/>
      <sz val="11"/>
    </font>
    <font>
      <name val="Aptos"/>
      <family val="2"/>
      <b val="1"/>
      <color rgb="FFFFFFFF"/>
      <sz val="11"/>
    </font>
    <font>
      <name val="Aptos"/>
      <family val="2"/>
      <b val="1"/>
      <color rgb="FFFFFFFF"/>
      <sz val="22"/>
    </font>
    <font>
      <name val="Aptos"/>
      <family val="2"/>
      <color rgb="FF52616B"/>
      <sz val="11"/>
    </font>
    <font>
      <name val="Aptos"/>
      <family val="2"/>
      <b val="1"/>
      <color rgb="FF243447"/>
      <sz val="11"/>
    </font>
    <font>
      <name val="Aptos"/>
      <family val="2"/>
      <b val="1"/>
      <color rgb="FF17365D"/>
      <sz val="11"/>
    </font>
    <font>
      <name val="Calibri"/>
      <family val="2"/>
      <b val="1"/>
      <color rgb="FFFFFFFF"/>
      <sz val="20"/>
      <scheme val="minor"/>
    </font>
    <font>
      <name val="Aptos"/>
      <family val="2"/>
      <b val="1"/>
      <color rgb="FF7F6000"/>
      <sz val="11"/>
    </font>
    <font>
      <name val="Aptos"/>
      <family val="2"/>
      <b val="1"/>
      <color rgb="FFFFFFFF"/>
      <sz val="18"/>
    </font>
    <font>
      <name val="Aptos"/>
      <family val="2"/>
      <color rgb="FF7F6000"/>
      <sz val="11"/>
    </font>
    <font>
      <name val="Aptos"/>
      <family val="2"/>
      <b val="1"/>
      <color rgb="FF243447"/>
      <sz val="16"/>
    </font>
    <font>
      <name val="Aptos"/>
      <family val="2"/>
      <b val="1"/>
      <color rgb="FFFFFFFF"/>
      <sz val="16"/>
    </font>
    <font>
      <name val="Calibri"/>
      <family val="2"/>
      <b val="1"/>
      <color rgb="FFFFFFFF"/>
      <sz val="16"/>
      <scheme val="minor"/>
    </font>
    <font>
      <name val="Aptos"/>
      <family val="2"/>
      <b val="1"/>
      <color rgb="FF276221"/>
      <sz val="11"/>
    </font>
    <font>
      <name val="Calibri"/>
      <family val="2"/>
      <b val="1"/>
      <color rgb="FF17365D"/>
      <sz val="11"/>
      <scheme val="minor"/>
    </font>
    <font>
      <name val="Courier New"/>
      <charset val="162"/>
      <family val="3"/>
      <color theme="1"/>
      <sz val="10"/>
    </font>
    <font>
      <name val="Aptos"/>
      <family val="2"/>
      <b val="1"/>
      <color rgb="FFC00000"/>
      <sz val="11"/>
    </font>
    <font>
      <name val="Consolas"/>
      <charset val="162"/>
      <family val="3"/>
      <color theme="1"/>
      <sz val="10"/>
    </font>
    <font>
      <name val="Consolas"/>
      <charset val="162"/>
      <family val="3"/>
      <color theme="1"/>
      <sz val="11"/>
    </font>
    <font>
      <name val="Calibri"/>
      <family val="2"/>
      <b val="1"/>
      <color rgb="FFFFFFFF"/>
      <sz val="15"/>
      <scheme val="minor"/>
    </font>
    <font>
      <name val="Aptos"/>
      <family val="2"/>
      <color rgb="FF243447"/>
      <sz val="11"/>
    </font>
    <font>
      <name val="Aptos"/>
      <family val="2"/>
      <color rgb="FF5B6573"/>
      <sz val="11"/>
    </font>
    <font>
      <name val="Aptos"/>
      <family val="2"/>
      <b val="1"/>
      <color theme="1"/>
      <sz val="11"/>
    </font>
    <font>
      <name val="Calibri"/>
      <family val="2"/>
      <color rgb="FF006100"/>
      <sz val="11"/>
      <scheme val="minor"/>
    </font>
    <font>
      <name val="Aptos"/>
      <color rgb="FF243447"/>
      <sz val="11"/>
    </font>
  </fonts>
  <fills count="27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17365D"/>
        <bgColor indexed="64"/>
      </patternFill>
    </fill>
    <fill>
      <patternFill patternType="solid">
        <fgColor rgb="FFEAF2F8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3F6F9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F9E6"/>
        <bgColor indexed="64"/>
      </patternFill>
    </fill>
    <fill>
      <patternFill patternType="solid">
        <fgColor rgb="FFF5F9FC"/>
        <bgColor indexed="64"/>
      </patternFill>
    </fill>
    <fill>
      <patternFill patternType="solid">
        <fgColor rgb="FFFAFBFC"/>
        <bgColor indexed="64"/>
      </patternFill>
    </fill>
    <fill>
      <patternFill patternType="solid">
        <fgColor rgb="FFE9EEF3"/>
        <bgColor indexed="64"/>
      </patternFill>
    </fill>
    <fill>
      <patternFill patternType="solid">
        <fgColor rgb="FFF4F7FA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55A11"/>
        <bgColor indexed="64"/>
      </patternFill>
    </fill>
    <fill>
      <patternFill patternType="solid">
        <fgColor rgb="FF0078D4"/>
        <bgColor indexed="64"/>
      </patternFill>
    </fill>
    <fill>
      <patternFill patternType="solid">
        <fgColor rgb="FF5B657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medium">
        <color rgb="FF2F75B5"/>
      </bottom>
      <diagonal/>
    </border>
    <border>
      <left/>
      <right/>
      <top/>
      <bottom style="thin">
        <color rgb="FFD9E2F3"/>
      </bottom>
      <diagonal/>
    </border>
    <border>
      <left/>
      <right/>
      <top style="thin">
        <color rgb="FFD9E2F3"/>
      </top>
      <bottom style="thin">
        <color rgb="FFD9E2F3"/>
      </bottom>
      <diagonal/>
    </border>
    <border>
      <left/>
      <right/>
      <top style="thin">
        <color rgb="FFD9E2F3"/>
      </top>
      <bottom/>
      <diagonal/>
    </border>
    <border>
      <left/>
      <right style="thin">
        <color rgb="FFB8C7D1"/>
      </right>
      <top/>
      <bottom/>
      <diagonal/>
    </border>
    <border>
      <left style="thin">
        <color rgb="FFB8C7D1"/>
      </left>
      <right style="thin">
        <color rgb="FFB8C7D1"/>
      </right>
      <top style="thin">
        <color rgb="FFB8C7D1"/>
      </top>
      <bottom style="thin">
        <color rgb="FFB8C7D1"/>
      </bottom>
      <diagonal/>
    </border>
    <border>
      <left style="thin">
        <color rgb="FFB8C7D1"/>
      </left>
      <right/>
      <top style="thin">
        <color rgb="FFB8C7D1"/>
      </top>
      <bottom style="thin">
        <color rgb="FFB8C7D1"/>
      </bottom>
      <diagonal/>
    </border>
    <border>
      <left/>
      <right/>
      <top style="thin">
        <color rgb="FFB8C7D1"/>
      </top>
      <bottom style="thin">
        <color rgb="FFB8C7D1"/>
      </bottom>
      <diagonal/>
    </border>
    <border>
      <left/>
      <right style="thin">
        <color rgb="FFB8C7D1"/>
      </right>
      <top style="thin">
        <color rgb="FFB8C7D1"/>
      </top>
      <bottom style="thin">
        <color rgb="FFB8C7D1"/>
      </bottom>
      <diagonal/>
    </border>
    <border>
      <left style="thin">
        <color rgb="FFB8C7D1"/>
      </left>
      <right style="thin">
        <color rgb="FFB8C7D1"/>
      </right>
      <top style="thin">
        <color rgb="FFB8C7D1"/>
      </top>
      <bottom/>
      <diagonal/>
    </border>
    <border>
      <left/>
      <right/>
      <top style="thin">
        <color rgb="FFB8C7D1"/>
      </top>
      <bottom/>
      <diagonal/>
    </border>
    <border>
      <left/>
      <right style="thin">
        <color rgb="FFB8C7D1"/>
      </right>
      <top style="thin">
        <color rgb="FFB8C7D1"/>
      </top>
      <bottom/>
      <diagonal/>
    </border>
    <border>
      <left style="thin">
        <color rgb="FFB8C7D1"/>
      </left>
      <right style="thin">
        <color rgb="FF7F8C8D"/>
      </right>
      <top style="thin">
        <color rgb="FFB8C7D1"/>
      </top>
      <bottom style="thin">
        <color rgb="FFB8C7D1"/>
      </bottom>
      <diagonal/>
    </border>
    <border>
      <left style="thin">
        <color rgb="FFB8C7D1"/>
      </left>
      <right/>
      <top/>
      <bottom/>
      <diagonal/>
    </border>
    <border>
      <left/>
      <right style="thin">
        <color rgb="FF7F8C8D"/>
      </right>
      <top style="thin">
        <color rgb="FFB8C7D1"/>
      </top>
      <bottom/>
      <diagonal/>
    </border>
    <border>
      <left/>
      <right style="thin">
        <color rgb="FF7F8C8D"/>
      </right>
      <top/>
      <bottom/>
      <diagonal/>
    </border>
    <border>
      <left style="thin">
        <color rgb="FFB8C7D1"/>
      </left>
      <right/>
      <top/>
      <bottom style="thin">
        <color rgb="FFB8C7D1"/>
      </bottom>
      <diagonal/>
    </border>
    <border>
      <left/>
      <right/>
      <top/>
      <bottom style="thin">
        <color rgb="FFB8C7D1"/>
      </bottom>
      <diagonal/>
    </border>
    <border>
      <left/>
      <right style="thin">
        <color rgb="FF7F8C8D"/>
      </right>
      <top/>
      <bottom style="thin">
        <color rgb="FFB8C7D1"/>
      </bottom>
      <diagonal/>
    </border>
    <border>
      <left/>
      <right style="thin">
        <color rgb="FFB8C7D1"/>
      </right>
      <top/>
      <bottom style="thin">
        <color rgb="FFB8C7D1"/>
      </bottom>
      <diagonal/>
    </border>
    <border>
      <left/>
      <right/>
      <top/>
      <bottom style="thin">
        <color auto="1"/>
      </bottom>
      <diagonal/>
    </border>
    <border>
      <left style="thin">
        <color rgb="FFB8C6D1"/>
      </left>
      <right style="thin">
        <color rgb="FFB8C6D1"/>
      </right>
      <top style="thin">
        <color rgb="FFB8C6D1"/>
      </top>
      <bottom style="thin">
        <color rgb="FFB8C6D1"/>
      </bottom>
      <diagonal/>
    </border>
    <border>
      <left style="thin">
        <color rgb="FFB8C7D1"/>
      </left>
      <right style="thin">
        <color rgb="FFB8C7D1"/>
      </right>
      <top/>
      <bottom style="thin">
        <color rgb="FFB8C7D1"/>
      </bottom>
      <diagonal/>
    </border>
    <border>
      <left style="thin">
        <color rgb="FFC9D3DC"/>
      </left>
      <right style="thin">
        <color rgb="FFC9D3DC"/>
      </right>
      <top style="thin">
        <color rgb="FFC9D3DC"/>
      </top>
      <bottom style="thin">
        <color rgb="FFC9D3DC"/>
      </bottom>
      <diagonal/>
    </border>
    <border>
      <left/>
      <right/>
      <top style="thick">
        <color rgb="FF17365D"/>
      </top>
      <bottom/>
      <diagonal/>
    </border>
    <border>
      <left/>
      <right/>
      <top/>
      <bottom style="thick">
        <color rgb="FF17365D"/>
      </bottom>
      <diagonal/>
    </border>
    <border>
      <left style="thick">
        <color rgb="FF17365D"/>
      </left>
      <right/>
      <top style="thick">
        <color rgb="FF17365D"/>
      </top>
      <bottom/>
      <diagonal/>
    </border>
    <border>
      <left style="thick">
        <color rgb="FF17365D"/>
      </left>
      <right/>
      <top/>
      <bottom/>
      <diagonal/>
    </border>
    <border>
      <left style="thick">
        <color rgb="FF17365D"/>
      </left>
      <right/>
      <top/>
      <bottom style="thick">
        <color rgb="FF17365D"/>
      </bottom>
      <diagonal/>
    </border>
    <border>
      <left/>
      <right style="thick">
        <color rgb="FF17365D"/>
      </right>
      <top style="thick">
        <color rgb="FF17365D"/>
      </top>
      <bottom/>
      <diagonal/>
    </border>
    <border>
      <left/>
      <right style="thick">
        <color rgb="FF17365D"/>
      </right>
      <top/>
      <bottom/>
      <diagonal/>
    </border>
    <border>
      <left/>
      <right style="thick">
        <color rgb="FF17365D"/>
      </right>
      <top/>
      <bottom style="thick">
        <color rgb="FF17365D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rgb="FFB8C6D1"/>
      </top>
      <bottom/>
      <diagonal/>
    </border>
    <border>
      <left/>
      <right style="thin">
        <color rgb="FFB8C6D1"/>
      </right>
      <top style="thin">
        <color rgb="FFB8C6D1"/>
      </top>
      <bottom/>
      <diagonal/>
    </border>
    <border>
      <left/>
      <right style="thin">
        <color rgb="FFB8C6D1"/>
      </right>
      <top style="thin">
        <color rgb="FFB8C6D1"/>
      </top>
      <bottom style="thin">
        <color rgb="FFB8C6D1"/>
      </bottom>
      <diagonal/>
    </border>
    <border>
      <left/>
      <right/>
      <top style="thin">
        <color rgb="FFB8C6D1"/>
      </top>
      <bottom style="thin">
        <color rgb="FFB8C6D1"/>
      </bottom>
      <diagonal/>
    </border>
    <border>
      <left style="thick">
        <color rgb="FF17365D"/>
      </left>
      <right style="thick">
        <color rgb="FF17365D"/>
      </right>
      <top style="thick">
        <color rgb="FF17365D"/>
      </top>
      <bottom style="thick">
        <color rgb="FF17365D"/>
      </bottom>
      <diagonal/>
    </border>
  </borders>
  <cellStyleXfs count="1">
    <xf numFmtId="0" fontId="0" fillId="0" borderId="0"/>
  </cellStyleXfs>
  <cellXfs count="300">
    <xf numFmtId="0" fontId="0" fillId="0" borderId="0" pivotButton="0" quotePrefix="0" xfId="0"/>
    <xf numFmtId="0" fontId="1" fillId="2" borderId="0" pivotButton="0" quotePrefix="0" xfId="0"/>
    <xf numFmtId="0" fontId="2" fillId="5" borderId="0" pivotButton="0" quotePrefix="0" xfId="0"/>
    <xf numFmtId="0" fontId="2" fillId="5" borderId="2" pivotButton="0" quotePrefix="0" xfId="0"/>
    <xf numFmtId="0" fontId="1" fillId="2" borderId="3" pivotButton="0" quotePrefix="0" xfId="0"/>
    <xf numFmtId="1" fontId="1" fillId="2" borderId="3" applyAlignment="1" pivotButton="0" quotePrefix="0" xfId="0">
      <alignment horizontal="right"/>
    </xf>
    <xf numFmtId="2" fontId="1" fillId="2" borderId="3" applyAlignment="1" pivotButton="0" quotePrefix="0" xfId="0">
      <alignment horizontal="right"/>
    </xf>
    <xf numFmtId="0" fontId="1" fillId="2" borderId="4" pivotButton="0" quotePrefix="0" xfId="0"/>
    <xf numFmtId="1" fontId="1" fillId="2" borderId="4" applyAlignment="1" pivotButton="0" quotePrefix="0" xfId="0">
      <alignment horizontal="right"/>
    </xf>
    <xf numFmtId="2" fontId="1" fillId="2" borderId="4" applyAlignment="1" pivotButton="0" quotePrefix="0" xfId="0">
      <alignment horizontal="right"/>
    </xf>
    <xf numFmtId="0" fontId="5" fillId="4" borderId="0" pivotButton="0" quotePrefix="0" xfId="0"/>
    <xf numFmtId="164" fontId="1" fillId="2" borderId="0" pivotButton="0" quotePrefix="0" xfId="0"/>
    <xf numFmtId="0" fontId="11" fillId="8" borderId="0" pivotButton="0" quotePrefix="0" xfId="0"/>
    <xf numFmtId="0" fontId="6" fillId="4" borderId="0" applyAlignment="1" pivotButton="0" quotePrefix="0" xfId="0">
      <alignment horizontal="center" vertical="center"/>
    </xf>
    <xf numFmtId="0" fontId="11" fillId="0" borderId="0" pivotButton="0" quotePrefix="0" xfId="0"/>
    <xf numFmtId="165" fontId="1" fillId="2" borderId="0" pivotButton="0" quotePrefix="0" xfId="0"/>
    <xf numFmtId="0" fontId="15" fillId="9" borderId="0" applyAlignment="1" pivotButton="0" quotePrefix="0" xfId="0">
      <alignment wrapText="1"/>
    </xf>
    <xf numFmtId="0" fontId="12" fillId="3" borderId="0" applyAlignment="1" pivotButton="0" quotePrefix="0" xfId="0">
      <alignment wrapText="1"/>
    </xf>
    <xf numFmtId="0" fontId="16" fillId="3" borderId="0" pivotButton="0" quotePrefix="0" xfId="0"/>
    <xf numFmtId="0" fontId="17" fillId="3" borderId="0" applyAlignment="1" pivotButton="0" quotePrefix="0" xfId="0">
      <alignment horizontal="center"/>
    </xf>
    <xf numFmtId="0" fontId="18" fillId="6" borderId="0" pivotButton="0" quotePrefix="0" xfId="0"/>
    <xf numFmtId="0" fontId="19" fillId="10" borderId="0" pivotButton="0" quotePrefix="0" xfId="0"/>
    <xf numFmtId="0" fontId="21" fillId="7" borderId="0" pivotButton="0" quotePrefix="0" xfId="0"/>
    <xf numFmtId="0" fontId="21" fillId="7" borderId="21" pivotButton="0" quotePrefix="0" xfId="0"/>
    <xf numFmtId="0" fontId="18" fillId="0" borderId="0" pivotButton="0" quotePrefix="0" xfId="0"/>
    <xf numFmtId="0" fontId="18" fillId="0" borderId="21" pivotButton="0" quotePrefix="0" xfId="0"/>
    <xf numFmtId="0" fontId="24" fillId="2" borderId="0" applyAlignment="1" pivotButton="0" quotePrefix="0" xfId="0">
      <alignment vertical="center"/>
    </xf>
    <xf numFmtId="0" fontId="23" fillId="2" borderId="8" applyAlignment="1" pivotButton="0" quotePrefix="0" xfId="0">
      <alignment vertical="center"/>
    </xf>
    <xf numFmtId="0" fontId="22" fillId="2" borderId="8" applyAlignment="1" pivotButton="0" quotePrefix="0" xfId="0">
      <alignment vertical="center"/>
    </xf>
    <xf numFmtId="4" fontId="23" fillId="12" borderId="6" applyAlignment="1" pivotButton="0" quotePrefix="0" xfId="0">
      <alignment horizontal="right" vertical="center"/>
    </xf>
    <xf numFmtId="4" fontId="13" fillId="3" borderId="10" applyAlignment="1" pivotButton="0" quotePrefix="0" xfId="0">
      <alignment horizontal="right" vertical="center"/>
    </xf>
    <xf numFmtId="4" fontId="23" fillId="12" borderId="23" applyAlignment="1" pivotButton="0" quotePrefix="0" xfId="0">
      <alignment horizontal="right" vertical="center"/>
    </xf>
    <xf numFmtId="0" fontId="14" fillId="3" borderId="24" applyAlignment="1" pivotButton="0" quotePrefix="0" xfId="0">
      <alignment horizontal="center" vertical="center" wrapText="1"/>
    </xf>
    <xf numFmtId="0" fontId="22" fillId="11" borderId="24" applyAlignment="1" pivotButton="0" quotePrefix="0" xfId="0">
      <alignment horizontal="left" vertical="center"/>
    </xf>
    <xf numFmtId="0" fontId="22" fillId="12" borderId="24" applyAlignment="1" pivotButton="0" quotePrefix="0" xfId="0">
      <alignment horizontal="center" vertical="center"/>
    </xf>
    <xf numFmtId="0" fontId="22" fillId="11" borderId="24" applyAlignment="1" pivotButton="0" quotePrefix="0" xfId="0">
      <alignment horizontal="center" vertical="center"/>
    </xf>
    <xf numFmtId="4" fontId="22" fillId="12" borderId="24" applyAlignment="1" pivotButton="0" quotePrefix="0" xfId="0">
      <alignment horizontal="center" vertical="center"/>
    </xf>
    <xf numFmtId="9" fontId="22" fillId="11" borderId="24" applyAlignment="1" pivotButton="0" quotePrefix="0" xfId="0">
      <alignment horizontal="center" vertical="center"/>
    </xf>
    <xf numFmtId="164" fontId="22" fillId="12" borderId="24" applyAlignment="1" pivotButton="0" quotePrefix="0" xfId="0">
      <alignment horizontal="center" vertical="center"/>
    </xf>
    <xf numFmtId="0" fontId="0" fillId="0" borderId="0" applyAlignment="1" pivotButton="0" quotePrefix="0" xfId="0">
      <alignment wrapText="1"/>
    </xf>
    <xf numFmtId="0" fontId="0" fillId="0" borderId="21" applyAlignment="1" pivotButton="0" quotePrefix="0" xfId="0">
      <alignment wrapText="1"/>
    </xf>
    <xf numFmtId="0" fontId="28" fillId="15" borderId="0" pivotButton="0" quotePrefix="0" xfId="0"/>
    <xf numFmtId="0" fontId="28" fillId="7" borderId="0" applyAlignment="1" pivotButton="0" quotePrefix="0" xfId="0">
      <alignment vertical="center" wrapText="1"/>
    </xf>
    <xf numFmtId="0" fontId="37" fillId="7" borderId="0" applyAlignment="1" pivotButton="0" quotePrefix="0" xfId="0">
      <alignment horizontal="left" vertical="center" wrapText="1"/>
    </xf>
    <xf numFmtId="0" fontId="19" fillId="10" borderId="0" applyAlignment="1" pivotButton="0" quotePrefix="0" xfId="0">
      <alignment wrapText="1"/>
    </xf>
    <xf numFmtId="0" fontId="21" fillId="7" borderId="0" applyAlignment="1" pivotButton="0" quotePrefix="0" xfId="0">
      <alignment wrapText="1"/>
    </xf>
    <xf numFmtId="0" fontId="28" fillId="2" borderId="0" applyAlignment="1" pivotButton="0" quotePrefix="0" xfId="0">
      <alignment vertical="center"/>
    </xf>
    <xf numFmtId="0" fontId="29" fillId="3" borderId="0" applyAlignment="1" pivotButton="0" quotePrefix="0" xfId="0">
      <alignment vertical="center" wrapText="1"/>
    </xf>
    <xf numFmtId="0" fontId="28" fillId="2" borderId="0" applyAlignment="1" pivotButton="0" quotePrefix="0" xfId="0">
      <alignment vertical="center" wrapText="1"/>
    </xf>
    <xf numFmtId="0" fontId="28" fillId="10" borderId="0" applyAlignment="1" pivotButton="0" quotePrefix="0" xfId="0">
      <alignment vertical="center" wrapText="1"/>
    </xf>
    <xf numFmtId="0" fontId="28" fillId="4" borderId="0" applyAlignment="1" pivotButton="0" quotePrefix="0" xfId="0">
      <alignment vertical="center" wrapText="1"/>
    </xf>
    <xf numFmtId="9" fontId="0" fillId="0" borderId="0" pivotButton="0" quotePrefix="0" xfId="0"/>
    <xf numFmtId="166" fontId="0" fillId="0" borderId="0" pivotButton="0" quotePrefix="0" xfId="0"/>
    <xf numFmtId="167" fontId="0" fillId="0" borderId="0" pivotButton="0" quotePrefix="0" xfId="0"/>
    <xf numFmtId="168" fontId="0" fillId="0" borderId="0" pivotButton="0" quotePrefix="0" xfId="0"/>
    <xf numFmtId="4" fontId="0" fillId="0" borderId="0" pivotButton="0" quotePrefix="0" xfId="0"/>
    <xf numFmtId="0" fontId="28" fillId="0" borderId="0" pivotButton="0" quotePrefix="0" xfId="0"/>
    <xf numFmtId="9" fontId="28" fillId="0" borderId="0" pivotButton="0" quotePrefix="0" xfId="0"/>
    <xf numFmtId="166" fontId="28" fillId="0" borderId="0" pivotButton="0" quotePrefix="0" xfId="0"/>
    <xf numFmtId="167" fontId="28" fillId="0" borderId="0" pivotButton="0" quotePrefix="0" xfId="0"/>
    <xf numFmtId="168" fontId="28" fillId="0" borderId="0" pivotButton="0" quotePrefix="0" xfId="0"/>
    <xf numFmtId="0" fontId="40" fillId="3" borderId="0" applyAlignment="1" pivotButton="0" quotePrefix="0" xfId="0">
      <alignment horizontal="center"/>
    </xf>
    <xf numFmtId="0" fontId="22" fillId="11" borderId="24" applyAlignment="1" applyProtection="1" pivotButton="0" quotePrefix="0" xfId="0">
      <alignment horizontal="left" vertical="center"/>
      <protection locked="0" hidden="0"/>
    </xf>
    <xf numFmtId="0" fontId="22" fillId="11" borderId="24" applyAlignment="1" applyProtection="1" pivotButton="0" quotePrefix="0" xfId="0">
      <alignment horizontal="center" vertical="center"/>
      <protection locked="0" hidden="0"/>
    </xf>
    <xf numFmtId="9" fontId="22" fillId="11" borderId="24" applyAlignment="1" applyProtection="1" pivotButton="0" quotePrefix="0" xfId="0">
      <alignment horizontal="center" vertical="center"/>
      <protection locked="0" hidden="0"/>
    </xf>
    <xf numFmtId="0" fontId="41" fillId="10" borderId="0" applyAlignment="1" pivotButton="0" quotePrefix="0" xfId="0">
      <alignment vertical="center" wrapText="1"/>
    </xf>
    <xf numFmtId="0" fontId="35" fillId="7" borderId="0" applyAlignment="1" pivotButton="0" quotePrefix="0" xfId="0">
      <alignment vertical="center" wrapText="1"/>
    </xf>
    <xf numFmtId="0" fontId="43" fillId="0" borderId="0" pivotButton="0" quotePrefix="0" xfId="0"/>
    <xf numFmtId="0" fontId="16" fillId="5" borderId="0" pivotButton="0" quotePrefix="0" xfId="0"/>
    <xf numFmtId="0" fontId="0" fillId="9" borderId="0" applyAlignment="1" pivotButton="0" quotePrefix="0" xfId="0">
      <alignment horizontal="center"/>
    </xf>
    <xf numFmtId="0" fontId="29" fillId="5" borderId="0" applyAlignment="1" pivotButton="0" quotePrefix="0" xfId="0">
      <alignment vertical="center" wrapText="1"/>
    </xf>
    <xf numFmtId="0" fontId="28" fillId="0" borderId="0" applyAlignment="1" pivotButton="0" quotePrefix="0" xfId="0">
      <alignment vertical="center" wrapText="1"/>
    </xf>
    <xf numFmtId="0" fontId="44" fillId="7" borderId="0" applyAlignment="1" pivotButton="0" quotePrefix="0" xfId="0">
      <alignment vertical="center" wrapText="1"/>
    </xf>
    <xf numFmtId="0" fontId="0" fillId="9" borderId="0" pivotButton="0" quotePrefix="0" xfId="0"/>
    <xf numFmtId="0" fontId="16" fillId="3" borderId="0" applyAlignment="1" pivotButton="0" quotePrefix="0" xfId="0">
      <alignment wrapText="1"/>
    </xf>
    <xf numFmtId="0" fontId="18" fillId="0" borderId="0" applyAlignment="1" pivotButton="0" quotePrefix="0" xfId="0">
      <alignment wrapText="1"/>
    </xf>
    <xf numFmtId="0" fontId="20" fillId="7" borderId="0" applyAlignment="1" pivotButton="0" quotePrefix="0" xfId="0">
      <alignment wrapText="1"/>
    </xf>
    <xf numFmtId="0" fontId="43" fillId="0" borderId="0" pivotButton="0" quotePrefix="1" xfId="0"/>
    <xf numFmtId="0" fontId="40" fillId="3" borderId="0" pivotButton="0" quotePrefix="0" xfId="0"/>
    <xf numFmtId="0" fontId="16" fillId="21" borderId="0" applyAlignment="1" pivotButton="0" quotePrefix="0" xfId="0">
      <alignment wrapText="1"/>
    </xf>
    <xf numFmtId="0" fontId="45" fillId="9" borderId="0" pivotButton="0" quotePrefix="0" xfId="0"/>
    <xf numFmtId="0" fontId="45" fillId="9" borderId="0" pivotButton="0" quotePrefix="1" xfId="0"/>
    <xf numFmtId="0" fontId="40" fillId="3" borderId="0" applyAlignment="1" pivotButton="0" quotePrefix="0" xfId="0">
      <alignment wrapText="1"/>
    </xf>
    <xf numFmtId="0" fontId="16" fillId="5" borderId="0" applyAlignment="1" pivotButton="0" quotePrefix="0" xfId="0">
      <alignment wrapText="1"/>
    </xf>
    <xf numFmtId="0" fontId="46" fillId="10" borderId="0" applyAlignment="1" pivotButton="0" quotePrefix="0" xfId="0">
      <alignment wrapText="1"/>
    </xf>
    <xf numFmtId="0" fontId="0" fillId="7" borderId="0" applyAlignment="1" pivotButton="0" quotePrefix="0" xfId="0">
      <alignment wrapText="1"/>
    </xf>
    <xf numFmtId="0" fontId="0" fillId="21" borderId="0" applyAlignment="1" pivotButton="0" quotePrefix="0" xfId="0">
      <alignment wrapText="1"/>
    </xf>
    <xf numFmtId="0" fontId="0" fillId="10" borderId="0" applyAlignment="1" pivotButton="0" quotePrefix="0" xfId="0">
      <alignment wrapText="1"/>
    </xf>
    <xf numFmtId="0" fontId="0" fillId="6" borderId="0" applyAlignment="1" pivotButton="0" quotePrefix="0" xfId="0">
      <alignment wrapText="1"/>
    </xf>
    <xf numFmtId="0" fontId="46" fillId="6" borderId="0" applyAlignment="1" pivotButton="0" quotePrefix="0" xfId="0">
      <alignment wrapText="1"/>
    </xf>
    <xf numFmtId="168" fontId="48" fillId="0" borderId="0" pivotButton="0" quotePrefix="0" xfId="0"/>
    <xf numFmtId="0" fontId="48" fillId="0" borderId="0" pivotButton="0" quotePrefix="0" xfId="0"/>
    <xf numFmtId="0" fontId="16" fillId="22" borderId="0" pivotButton="0" quotePrefix="0" xfId="0"/>
    <xf numFmtId="169" fontId="0" fillId="0" borderId="0" pivotButton="0" quotePrefix="0" xfId="0"/>
    <xf numFmtId="0" fontId="15" fillId="0" borderId="0" pivotButton="0" quotePrefix="0" xfId="0"/>
    <xf numFmtId="9" fontId="15" fillId="0" borderId="0" pivotButton="0" quotePrefix="0" xfId="0"/>
    <xf numFmtId="0" fontId="50" fillId="6" borderId="0" pivotButton="0" quotePrefix="0" xfId="0"/>
    <xf numFmtId="0" fontId="12" fillId="23" borderId="0" pivotButton="0" quotePrefix="0" xfId="0"/>
    <xf numFmtId="0" fontId="0" fillId="0" borderId="33" pivotButton="0" quotePrefix="0" xfId="0"/>
    <xf numFmtId="170" fontId="0" fillId="0" borderId="33" pivotButton="0" quotePrefix="0" xfId="0"/>
    <xf numFmtId="1" fontId="0" fillId="0" borderId="0" pivotButton="0" quotePrefix="0" xfId="0"/>
    <xf numFmtId="167" fontId="15" fillId="0" borderId="0" pivotButton="0" quotePrefix="0" xfId="0"/>
    <xf numFmtId="0" fontId="16" fillId="23" borderId="0" pivotButton="0" quotePrefix="0" xfId="0"/>
    <xf numFmtId="0" fontId="16" fillId="23" borderId="0" applyAlignment="1" pivotButton="0" quotePrefix="0" xfId="0">
      <alignment wrapText="1"/>
    </xf>
    <xf numFmtId="0" fontId="16" fillId="23" borderId="33" pivotButton="0" quotePrefix="0" xfId="0"/>
    <xf numFmtId="0" fontId="51" fillId="26" borderId="0" pivotButton="0" quotePrefix="0" xfId="0"/>
    <xf numFmtId="168" fontId="52" fillId="0" borderId="0" pivotButton="0" quotePrefix="0" xfId="0"/>
    <xf numFmtId="0" fontId="52" fillId="0" borderId="0" pivotButton="0" quotePrefix="0" xfId="0"/>
    <xf numFmtId="0" fontId="0" fillId="26" borderId="0" applyAlignment="1" pivotButton="0" quotePrefix="0" xfId="0">
      <alignment wrapText="1"/>
    </xf>
    <xf numFmtId="0" fontId="0" fillId="25" borderId="0" applyAlignment="1" pivotButton="0" quotePrefix="0" xfId="0">
      <alignment wrapText="1"/>
    </xf>
    <xf numFmtId="0" fontId="13" fillId="5" borderId="0" applyAlignment="1" pivotButton="0" quotePrefix="0" xfId="0">
      <alignment horizontal="center" vertical="center"/>
    </xf>
    <xf numFmtId="0" fontId="23" fillId="6" borderId="6" applyAlignment="1" pivotButton="0" quotePrefix="0" xfId="0">
      <alignment vertical="center"/>
    </xf>
    <xf numFmtId="0" fontId="23" fillId="6" borderId="8" applyAlignment="1" pivotButton="0" quotePrefix="0" xfId="0">
      <alignment vertical="center"/>
    </xf>
    <xf numFmtId="0" fontId="23" fillId="6" borderId="9" applyAlignment="1" pivotButton="0" quotePrefix="0" xfId="0">
      <alignment vertical="center"/>
    </xf>
    <xf numFmtId="0" fontId="27" fillId="14" borderId="0" applyAlignment="1" pivotButton="0" quotePrefix="0" xfId="0">
      <alignment horizontal="center" vertical="center" wrapText="1"/>
    </xf>
    <xf numFmtId="0" fontId="27" fillId="14" borderId="0" applyAlignment="1" pivotButton="0" quotePrefix="0" xfId="0">
      <alignment horizontal="center" vertical="center"/>
    </xf>
    <xf numFmtId="0" fontId="22" fillId="13" borderId="6" applyAlignment="1" pivotButton="0" quotePrefix="0" xfId="0">
      <alignment horizontal="center" vertical="center"/>
    </xf>
    <xf numFmtId="0" fontId="22" fillId="13" borderId="11" applyAlignment="1" pivotButton="0" quotePrefix="0" xfId="0">
      <alignment vertical="center"/>
    </xf>
    <xf numFmtId="0" fontId="22" fillId="13" borderId="12" applyAlignment="1" pivotButton="0" quotePrefix="0" xfId="0">
      <alignment vertical="center"/>
    </xf>
    <xf numFmtId="0" fontId="22" fillId="13" borderId="14" applyAlignment="1" pivotButton="0" quotePrefix="0" xfId="0">
      <alignment vertical="center"/>
    </xf>
    <xf numFmtId="0" fontId="22" fillId="13" borderId="0" applyAlignment="1" pivotButton="0" quotePrefix="0" xfId="0">
      <alignment vertical="center"/>
    </xf>
    <xf numFmtId="0" fontId="22" fillId="13" borderId="5" applyAlignment="1" pivotButton="0" quotePrefix="0" xfId="0">
      <alignment vertical="center"/>
    </xf>
    <xf numFmtId="0" fontId="22" fillId="13" borderId="17" applyAlignment="1" pivotButton="0" quotePrefix="0" xfId="0">
      <alignment vertical="center"/>
    </xf>
    <xf numFmtId="0" fontId="22" fillId="13" borderId="18" applyAlignment="1" pivotButton="0" quotePrefix="0" xfId="0">
      <alignment vertical="center"/>
    </xf>
    <xf numFmtId="0" fontId="22" fillId="13" borderId="20" applyAlignment="1" pivotButton="0" quotePrefix="0" xfId="0">
      <alignment vertical="center"/>
    </xf>
    <xf numFmtId="0" fontId="2" fillId="5" borderId="6" applyAlignment="1" pivotButton="0" quotePrefix="0" xfId="0">
      <alignment horizontal="center" vertical="center"/>
    </xf>
    <xf numFmtId="0" fontId="2" fillId="5" borderId="8" applyAlignment="1" pivotButton="0" quotePrefix="0" xfId="0">
      <alignment horizontal="center" vertical="center"/>
    </xf>
    <xf numFmtId="0" fontId="2" fillId="5" borderId="9" applyAlignment="1" pivotButton="0" quotePrefix="0" xfId="0">
      <alignment horizontal="center" vertical="center"/>
    </xf>
    <xf numFmtId="0" fontId="24" fillId="13" borderId="13" applyAlignment="1" applyProtection="1" pivotButton="0" quotePrefix="0" xfId="0">
      <alignment horizontal="left" vertical="center" wrapText="1"/>
      <protection locked="0" hidden="0"/>
    </xf>
    <xf numFmtId="0" fontId="22" fillId="13" borderId="11" applyAlignment="1" applyProtection="1" pivotButton="0" quotePrefix="0" xfId="0">
      <alignment vertical="center"/>
      <protection locked="0" hidden="0"/>
    </xf>
    <xf numFmtId="0" fontId="22" fillId="13" borderId="15" applyAlignment="1" applyProtection="1" pivotButton="0" quotePrefix="0" xfId="0">
      <alignment vertical="center"/>
      <protection locked="0" hidden="0"/>
    </xf>
    <xf numFmtId="0" fontId="22" fillId="13" borderId="14" applyAlignment="1" applyProtection="1" pivotButton="0" quotePrefix="0" xfId="0">
      <alignment vertical="center"/>
      <protection locked="0" hidden="0"/>
    </xf>
    <xf numFmtId="0" fontId="22" fillId="13" borderId="0" applyAlignment="1" applyProtection="1" pivotButton="0" quotePrefix="0" xfId="0">
      <alignment vertical="center"/>
      <protection locked="0" hidden="0"/>
    </xf>
    <xf numFmtId="0" fontId="22" fillId="13" borderId="16" applyAlignment="1" applyProtection="1" pivotButton="0" quotePrefix="0" xfId="0">
      <alignment vertical="center"/>
      <protection locked="0" hidden="0"/>
    </xf>
    <xf numFmtId="0" fontId="22" fillId="13" borderId="17" applyAlignment="1" applyProtection="1" pivotButton="0" quotePrefix="0" xfId="0">
      <alignment vertical="center"/>
      <protection locked="0" hidden="0"/>
    </xf>
    <xf numFmtId="0" fontId="22" fillId="13" borderId="18" applyAlignment="1" applyProtection="1" pivotButton="0" quotePrefix="0" xfId="0">
      <alignment vertical="center"/>
      <protection locked="0" hidden="0"/>
    </xf>
    <xf numFmtId="0" fontId="22" fillId="13" borderId="19" applyAlignment="1" applyProtection="1" pivotButton="0" quotePrefix="0" xfId="0">
      <alignment vertical="center"/>
      <protection locked="0" hidden="0"/>
    </xf>
    <xf numFmtId="0" fontId="2" fillId="5" borderId="7" applyAlignment="1" pivotButton="0" quotePrefix="0" xfId="0">
      <alignment horizontal="center" vertical="center"/>
    </xf>
    <xf numFmtId="0" fontId="13" fillId="3" borderId="10" applyAlignment="1" pivotButton="0" quotePrefix="0" xfId="0">
      <alignment vertical="center"/>
    </xf>
    <xf numFmtId="0" fontId="13" fillId="3" borderId="11" applyAlignment="1" pivotButton="0" quotePrefix="0" xfId="0">
      <alignment vertical="center"/>
    </xf>
    <xf numFmtId="0" fontId="13" fillId="3" borderId="12" applyAlignment="1" pivotButton="0" quotePrefix="0" xfId="0">
      <alignment vertical="center"/>
    </xf>
    <xf numFmtId="0" fontId="26" fillId="9" borderId="0" applyAlignment="1" pivotButton="0" quotePrefix="0" xfId="0">
      <alignment horizontal="left" vertical="center" wrapText="1"/>
    </xf>
    <xf numFmtId="0" fontId="26" fillId="9" borderId="0" applyAlignment="1" pivotButton="0" quotePrefix="0" xfId="0">
      <alignment vertical="center" wrapText="1"/>
    </xf>
    <xf numFmtId="0" fontId="23" fillId="6" borderId="23" applyAlignment="1" pivotButton="0" quotePrefix="0" xfId="0">
      <alignment vertical="center"/>
    </xf>
    <xf numFmtId="0" fontId="23" fillId="6" borderId="18" applyAlignment="1" pivotButton="0" quotePrefix="0" xfId="0">
      <alignment vertical="center"/>
    </xf>
    <xf numFmtId="0" fontId="23" fillId="6" borderId="20" applyAlignment="1" pivotButton="0" quotePrefix="0" xfId="0">
      <alignment vertical="center"/>
    </xf>
    <xf numFmtId="166" fontId="22" fillId="7" borderId="22" applyAlignment="1" applyProtection="1" pivotButton="0" quotePrefix="0" xfId="0">
      <alignment horizontal="left" vertical="center"/>
      <protection locked="0" hidden="0"/>
    </xf>
    <xf numFmtId="166" fontId="22" fillId="7" borderId="22" applyAlignment="1" applyProtection="1" pivotButton="0" quotePrefix="0" xfId="0">
      <alignment vertical="center"/>
      <protection locked="0" hidden="0"/>
    </xf>
    <xf numFmtId="166" fontId="22" fillId="4" borderId="22" applyAlignment="1" pivotButton="0" quotePrefix="0" xfId="0">
      <alignment horizontal="left" vertical="center"/>
    </xf>
    <xf numFmtId="166" fontId="22" fillId="4" borderId="22" applyAlignment="1" pivotButton="0" quotePrefix="0" xfId="0">
      <alignment vertical="center"/>
    </xf>
    <xf numFmtId="0" fontId="8" fillId="6" borderId="22" applyAlignment="1" pivotButton="0" quotePrefix="0" xfId="0">
      <alignment horizontal="left" vertical="center"/>
    </xf>
    <xf numFmtId="0" fontId="22" fillId="9" borderId="0" applyAlignment="1" pivotButton="0" quotePrefix="0" xfId="0">
      <alignment horizontal="center" vertical="center"/>
    </xf>
    <xf numFmtId="0" fontId="25" fillId="3" borderId="0" applyAlignment="1" pivotButton="0" quotePrefix="0" xfId="0">
      <alignment horizontal="center" vertical="center"/>
    </xf>
    <xf numFmtId="0" fontId="22" fillId="7" borderId="22" applyAlignment="1" applyProtection="1" pivotButton="0" quotePrefix="0" xfId="0">
      <alignment vertical="center"/>
      <protection locked="0" hidden="0"/>
    </xf>
    <xf numFmtId="0" fontId="22" fillId="7" borderId="22" applyAlignment="1" pivotButton="0" quotePrefix="0" xfId="0">
      <alignment vertical="center"/>
    </xf>
    <xf numFmtId="0" fontId="22" fillId="7" borderId="22" applyAlignment="1" applyProtection="1" pivotButton="0" quotePrefix="0" xfId="0">
      <alignment horizontal="left" vertical="center"/>
      <protection locked="0" hidden="0"/>
    </xf>
    <xf numFmtId="0" fontId="22" fillId="7" borderId="22" applyAlignment="1" pivotButton="0" quotePrefix="0" xfId="0">
      <alignment horizontal="left" vertical="center"/>
    </xf>
    <xf numFmtId="166" fontId="22" fillId="7" borderId="22" applyAlignment="1" pivotButton="0" quotePrefix="0" xfId="0">
      <alignment horizontal="left" vertical="center"/>
    </xf>
    <xf numFmtId="166" fontId="22" fillId="7" borderId="22" applyAlignment="1" pivotButton="0" quotePrefix="0" xfId="0">
      <alignment vertical="center"/>
    </xf>
    <xf numFmtId="0" fontId="24" fillId="13" borderId="13" applyAlignment="1" pivotButton="0" quotePrefix="0" xfId="0">
      <alignment horizontal="left" vertical="center" wrapText="1"/>
    </xf>
    <xf numFmtId="0" fontId="22" fillId="13" borderId="15" applyAlignment="1" pivotButton="0" quotePrefix="0" xfId="0">
      <alignment vertical="center"/>
    </xf>
    <xf numFmtId="0" fontId="22" fillId="13" borderId="16" applyAlignment="1" pivotButton="0" quotePrefix="0" xfId="0">
      <alignment vertical="center"/>
    </xf>
    <xf numFmtId="0" fontId="22" fillId="13" borderId="19" applyAlignment="1" pivotButton="0" quotePrefix="0" xfId="0">
      <alignment vertical="center"/>
    </xf>
    <xf numFmtId="0" fontId="3" fillId="3" borderId="0" applyAlignment="1" pivotButton="0" quotePrefix="0" xfId="0">
      <alignment horizontal="center" vertical="center"/>
    </xf>
    <xf numFmtId="0" fontId="0" fillId="0" borderId="0" pivotButton="0" quotePrefix="0" xfId="0"/>
    <xf numFmtId="2" fontId="7" fillId="4" borderId="1" applyAlignment="1" pivotButton="0" quotePrefix="0" xfId="0">
      <alignment horizontal="center" vertical="center"/>
    </xf>
    <xf numFmtId="0" fontId="0" fillId="0" borderId="1" pivotButton="0" quotePrefix="0" xfId="0"/>
    <xf numFmtId="4" fontId="7" fillId="4" borderId="1" applyAlignment="1" pivotButton="0" quotePrefix="0" xfId="0">
      <alignment horizontal="center" vertical="center"/>
    </xf>
    <xf numFmtId="0" fontId="8" fillId="6" borderId="0" pivotButton="0" quotePrefix="0" xfId="0"/>
    <xf numFmtId="0" fontId="4" fillId="2" borderId="0" applyAlignment="1" pivotButton="0" quotePrefix="0" xfId="0">
      <alignment horizontal="center"/>
    </xf>
    <xf numFmtId="0" fontId="6" fillId="4" borderId="0" applyAlignment="1" pivotButton="0" quotePrefix="0" xfId="0">
      <alignment horizontal="center" vertical="center"/>
    </xf>
    <xf numFmtId="0" fontId="7" fillId="4" borderId="1" applyAlignment="1" pivotButton="0" quotePrefix="0" xfId="0">
      <alignment horizontal="center" vertical="center"/>
    </xf>
    <xf numFmtId="9" fontId="7" fillId="4" borderId="1" applyAlignment="1" pivotButton="0" quotePrefix="0" xfId="0">
      <alignment horizontal="center" vertical="center"/>
    </xf>
    <xf numFmtId="0" fontId="1" fillId="2" borderId="0" applyAlignment="1" pivotButton="0" quotePrefix="0" xfId="0">
      <alignment wrapText="1"/>
    </xf>
    <xf numFmtId="0" fontId="10" fillId="7" borderId="0" applyAlignment="1" pivotButton="0" quotePrefix="0" xfId="0">
      <alignment wrapText="1"/>
    </xf>
    <xf numFmtId="0" fontId="9" fillId="3" borderId="0" applyAlignment="1" pivotButton="0" quotePrefix="0" xfId="0">
      <alignment horizontal="center" vertical="center"/>
    </xf>
    <xf numFmtId="0" fontId="9" fillId="21" borderId="0" applyAlignment="1" pivotButton="0" quotePrefix="0" xfId="0">
      <alignment horizontal="center" vertical="center"/>
    </xf>
    <xf numFmtId="0" fontId="5" fillId="6" borderId="0" pivotButton="0" quotePrefix="0" xfId="0"/>
    <xf numFmtId="0" fontId="4" fillId="2" borderId="0" applyAlignment="1" pivotButton="0" quotePrefix="0" xfId="0">
      <alignment horizontal="center" wrapText="1"/>
    </xf>
    <xf numFmtId="0" fontId="13" fillId="3" borderId="0" pivotButton="0" quotePrefix="0" xfId="0"/>
    <xf numFmtId="49" fontId="0" fillId="0" borderId="0" pivotButton="0" quotePrefix="0" xfId="0"/>
    <xf numFmtId="0" fontId="0" fillId="0" borderId="0" applyAlignment="1" pivotButton="0" quotePrefix="0" xfId="0">
      <alignment wrapText="1"/>
    </xf>
    <xf numFmtId="0" fontId="16" fillId="3" borderId="0" pivotButton="0" quotePrefix="0" xfId="0"/>
    <xf numFmtId="0" fontId="28" fillId="7" borderId="0" applyAlignment="1" pivotButton="0" quotePrefix="0" xfId="0">
      <alignment horizontal="left" vertical="center" wrapText="1"/>
    </xf>
    <xf numFmtId="0" fontId="20" fillId="7" borderId="0" applyAlignment="1" pivotButton="0" quotePrefix="0" xfId="0">
      <alignment horizontal="center" vertical="center" wrapText="1"/>
    </xf>
    <xf numFmtId="0" fontId="30" fillId="3" borderId="0" applyAlignment="1" pivotButton="0" quotePrefix="0" xfId="0">
      <alignment horizontal="center" vertical="center"/>
    </xf>
    <xf numFmtId="0" fontId="31" fillId="15" borderId="0" applyAlignment="1" pivotButton="0" quotePrefix="0" xfId="0">
      <alignment horizontal="center"/>
    </xf>
    <xf numFmtId="0" fontId="34" fillId="5" borderId="27" applyAlignment="1" pivotButton="0" quotePrefix="0" xfId="0">
      <alignment horizontal="center" vertical="center"/>
    </xf>
    <xf numFmtId="0" fontId="34" fillId="5" borderId="25" applyAlignment="1" pivotButton="0" quotePrefix="0" xfId="0">
      <alignment horizontal="center" vertical="center"/>
    </xf>
    <xf numFmtId="0" fontId="34" fillId="5" borderId="30" applyAlignment="1" pivotButton="0" quotePrefix="0" xfId="0">
      <alignment horizontal="center" vertical="center"/>
    </xf>
    <xf numFmtId="0" fontId="34" fillId="5" borderId="28" applyAlignment="1" pivotButton="0" quotePrefix="0" xfId="0">
      <alignment horizontal="center" vertical="center"/>
    </xf>
    <xf numFmtId="0" fontId="34" fillId="5" borderId="0" applyAlignment="1" pivotButton="0" quotePrefix="0" xfId="0">
      <alignment horizontal="center" vertical="center"/>
    </xf>
    <xf numFmtId="0" fontId="34" fillId="5" borderId="31" applyAlignment="1" pivotButton="0" quotePrefix="0" xfId="0">
      <alignment horizontal="center" vertical="center"/>
    </xf>
    <xf numFmtId="0" fontId="34" fillId="5" borderId="29" applyAlignment="1" pivotButton="0" quotePrefix="0" xfId="0">
      <alignment horizontal="center" vertical="center"/>
    </xf>
    <xf numFmtId="0" fontId="34" fillId="5" borderId="26" applyAlignment="1" pivotButton="0" quotePrefix="0" xfId="0">
      <alignment horizontal="center" vertical="center"/>
    </xf>
    <xf numFmtId="0" fontId="34" fillId="5" borderId="32" applyAlignment="1" pivotButton="0" quotePrefix="0" xfId="0">
      <alignment horizontal="center" vertical="center"/>
    </xf>
    <xf numFmtId="0" fontId="35" fillId="7" borderId="0" applyAlignment="1" pivotButton="0" quotePrefix="0" xfId="0">
      <alignment horizontal="center" vertical="center" wrapText="1"/>
    </xf>
    <xf numFmtId="0" fontId="36" fillId="5" borderId="27" applyAlignment="1" pivotButton="0" quotePrefix="0" xfId="0">
      <alignment horizontal="center" vertical="center"/>
    </xf>
    <xf numFmtId="0" fontId="36" fillId="5" borderId="25" applyAlignment="1" pivotButton="0" quotePrefix="0" xfId="0">
      <alignment horizontal="center" vertical="center"/>
    </xf>
    <xf numFmtId="0" fontId="36" fillId="5" borderId="30" applyAlignment="1" pivotButton="0" quotePrefix="0" xfId="0">
      <alignment horizontal="center" vertical="center"/>
    </xf>
    <xf numFmtId="0" fontId="36" fillId="5" borderId="28" applyAlignment="1" pivotButton="0" quotePrefix="0" xfId="0">
      <alignment horizontal="center" vertical="center"/>
    </xf>
    <xf numFmtId="0" fontId="36" fillId="5" borderId="0" applyAlignment="1" pivotButton="0" quotePrefix="0" xfId="0">
      <alignment horizontal="center" vertical="center"/>
    </xf>
    <xf numFmtId="0" fontId="36" fillId="5" borderId="31" applyAlignment="1" pivotButton="0" quotePrefix="0" xfId="0">
      <alignment horizontal="center" vertical="center"/>
    </xf>
    <xf numFmtId="0" fontId="36" fillId="5" borderId="29" applyAlignment="1" pivotButton="0" quotePrefix="0" xfId="0">
      <alignment horizontal="center" vertical="center"/>
    </xf>
    <xf numFmtId="0" fontId="36" fillId="5" borderId="26" applyAlignment="1" pivotButton="0" quotePrefix="0" xfId="0">
      <alignment horizontal="center" vertical="center"/>
    </xf>
    <xf numFmtId="0" fontId="36" fillId="5" borderId="32" applyAlignment="1" pivotButton="0" quotePrefix="0" xfId="0">
      <alignment horizontal="center" vertical="center"/>
    </xf>
    <xf numFmtId="0" fontId="33" fillId="4" borderId="0" applyAlignment="1" pivotButton="0" quotePrefix="0" xfId="0">
      <alignment horizontal="center" wrapText="1"/>
    </xf>
    <xf numFmtId="0" fontId="37" fillId="7" borderId="0" applyAlignment="1" pivotButton="0" quotePrefix="0" xfId="0">
      <alignment horizontal="left" vertical="center" wrapText="1"/>
    </xf>
    <xf numFmtId="0" fontId="18" fillId="6" borderId="0" applyAlignment="1" pivotButton="0" quotePrefix="0" xfId="0">
      <alignment wrapText="1"/>
    </xf>
    <xf numFmtId="0" fontId="17" fillId="22" borderId="0" applyAlignment="1" pivotButton="0" quotePrefix="0" xfId="0">
      <alignment wrapText="1"/>
    </xf>
    <xf numFmtId="0" fontId="0" fillId="22" borderId="0" applyAlignment="1" pivotButton="0" quotePrefix="0" xfId="0">
      <alignment wrapText="1"/>
    </xf>
    <xf numFmtId="0" fontId="17" fillId="22" borderId="0" pivotButton="0" quotePrefix="0" xfId="0"/>
    <xf numFmtId="0" fontId="0" fillId="22" borderId="0" pivotButton="0" quotePrefix="0" xfId="0"/>
    <xf numFmtId="0" fontId="36" fillId="3" borderId="0" applyAlignment="1" pivotButton="0" quotePrefix="0" xfId="0">
      <alignment horizontal="center" vertical="center"/>
    </xf>
    <xf numFmtId="0" fontId="31" fillId="4" borderId="0" applyAlignment="1" pivotButton="0" quotePrefix="0" xfId="0">
      <alignment horizontal="center" vertical="center"/>
    </xf>
    <xf numFmtId="0" fontId="29" fillId="5" borderId="0" applyAlignment="1" pivotButton="0" quotePrefix="0" xfId="0">
      <alignment horizontal="center" vertical="center"/>
    </xf>
    <xf numFmtId="0" fontId="38" fillId="9" borderId="0" applyAlignment="1" pivotButton="0" quotePrefix="0" xfId="0">
      <alignment horizontal="center" vertical="center"/>
    </xf>
    <xf numFmtId="167" fontId="38" fillId="9" borderId="0" applyAlignment="1" pivotButton="0" quotePrefix="0" xfId="0">
      <alignment horizontal="center" vertical="center"/>
    </xf>
    <xf numFmtId="0" fontId="42" fillId="4" borderId="0" pivotButton="0" quotePrefix="0" xfId="0"/>
    <xf numFmtId="0" fontId="17" fillId="3" borderId="0" applyAlignment="1" pivotButton="0" quotePrefix="0" xfId="0">
      <alignment horizontal="center"/>
    </xf>
    <xf numFmtId="0" fontId="18" fillId="0" borderId="0" applyAlignment="1" pivotButton="0" quotePrefix="0" xfId="0">
      <alignment wrapText="1"/>
    </xf>
    <xf numFmtId="0" fontId="17" fillId="3" borderId="0" pivotButton="0" quotePrefix="0" xfId="0"/>
    <xf numFmtId="0" fontId="22" fillId="4" borderId="22" applyAlignment="1" pivotButton="0" quotePrefix="0" xfId="0">
      <alignment vertical="center"/>
    </xf>
    <xf numFmtId="0" fontId="26" fillId="9" borderId="0" applyAlignment="1" pivotButton="0" quotePrefix="0" xfId="0">
      <alignment vertical="center"/>
    </xf>
    <xf numFmtId="0" fontId="39" fillId="3" borderId="0" applyAlignment="1" pivotButton="0" quotePrefix="0" xfId="0">
      <alignment horizontal="center"/>
    </xf>
    <xf numFmtId="0" fontId="39" fillId="22" borderId="0" pivotButton="0" quotePrefix="0" xfId="0"/>
    <xf numFmtId="0" fontId="15" fillId="22" borderId="0" pivotButton="0" quotePrefix="0" xfId="0"/>
    <xf numFmtId="0" fontId="49" fillId="0" borderId="0" pivotButton="0" quotePrefix="0" xfId="0"/>
    <xf numFmtId="0" fontId="16" fillId="24" borderId="0" pivotButton="0" quotePrefix="0" xfId="0"/>
    <xf numFmtId="0" fontId="0" fillId="24" borderId="0" pivotButton="0" quotePrefix="0" xfId="0"/>
    <xf numFmtId="0" fontId="0" fillId="10" borderId="0" applyAlignment="1" pivotButton="0" quotePrefix="0" xfId="0">
      <alignment vertical="center" wrapText="1"/>
    </xf>
    <xf numFmtId="0" fontId="28" fillId="0" borderId="0" pivotButton="0" quotePrefix="0" xfId="0"/>
    <xf numFmtId="167" fontId="28" fillId="0" borderId="0" pivotButton="0" quotePrefix="0" xfId="0"/>
    <xf numFmtId="0" fontId="17" fillId="5" borderId="0" applyAlignment="1" pivotButton="0" quotePrefix="0" xfId="0">
      <alignment horizontal="center" vertical="center"/>
    </xf>
    <xf numFmtId="0" fontId="17" fillId="16" borderId="0" applyAlignment="1" pivotButton="0" quotePrefix="0" xfId="0">
      <alignment horizontal="center" vertical="center"/>
    </xf>
    <xf numFmtId="0" fontId="18" fillId="0" borderId="0" applyAlignment="1" pivotButton="0" quotePrefix="0" xfId="0">
      <alignment horizontal="center"/>
    </xf>
    <xf numFmtId="0" fontId="17" fillId="17" borderId="0" applyAlignment="1" pivotButton="0" quotePrefix="0" xfId="0">
      <alignment horizontal="center" vertical="center"/>
    </xf>
    <xf numFmtId="0" fontId="17" fillId="18" borderId="0" applyAlignment="1" pivotButton="0" quotePrefix="0" xfId="0">
      <alignment horizontal="center" vertical="center"/>
    </xf>
    <xf numFmtId="0" fontId="17" fillId="19" borderId="0" applyAlignment="1" pivotButton="0" quotePrefix="0" xfId="0">
      <alignment horizontal="center" vertical="center"/>
    </xf>
    <xf numFmtId="0" fontId="21" fillId="7" borderId="0" applyAlignment="1" pivotButton="0" quotePrefix="0" xfId="0">
      <alignment horizontal="center"/>
    </xf>
    <xf numFmtId="0" fontId="17" fillId="20" borderId="0" applyAlignment="1" pivotButton="0" quotePrefix="0" xfId="0">
      <alignment horizontal="center" vertical="center"/>
    </xf>
    <xf numFmtId="0" fontId="40" fillId="3" borderId="0" applyAlignment="1" pivotButton="0" quotePrefix="0" xfId="0">
      <alignment horizontal="center"/>
    </xf>
    <xf numFmtId="0" fontId="21" fillId="7" borderId="0" pivotButton="0" quotePrefix="0" xfId="0"/>
    <xf numFmtId="0" fontId="28" fillId="0" borderId="0" applyAlignment="1" pivotButton="0" quotePrefix="0" xfId="0">
      <alignment vertical="center" wrapText="1"/>
    </xf>
    <xf numFmtId="0" fontId="32" fillId="7" borderId="0" applyAlignment="1" pivotButton="0" quotePrefix="0" xfId="0">
      <alignment vertical="center" wrapText="1"/>
    </xf>
    <xf numFmtId="0" fontId="36" fillId="3" borderId="0" applyAlignment="1" pivotButton="0" quotePrefix="0" xfId="0">
      <alignment horizontal="center" vertical="center" wrapText="1"/>
    </xf>
    <xf numFmtId="0" fontId="28" fillId="4" borderId="0" applyAlignment="1" pivotButton="0" quotePrefix="0" xfId="0">
      <alignment horizontal="center" vertical="center" wrapText="1"/>
    </xf>
    <xf numFmtId="0" fontId="28" fillId="7" borderId="0" applyAlignment="1" pivotButton="0" quotePrefix="0" xfId="0">
      <alignment vertical="center" wrapText="1"/>
    </xf>
    <xf numFmtId="0" fontId="40" fillId="3" borderId="0" pivotButton="0" quotePrefix="0" xfId="0"/>
    <xf numFmtId="0" fontId="40" fillId="22" borderId="0" pivotButton="0" quotePrefix="0" xfId="0"/>
    <xf numFmtId="0" fontId="21" fillId="7" borderId="0" applyAlignment="1" pivotButton="0" quotePrefix="0" xfId="0">
      <alignment wrapText="1"/>
    </xf>
    <xf numFmtId="0" fontId="16" fillId="21" borderId="0" applyAlignment="1" pivotButton="0" quotePrefix="0" xfId="0">
      <alignment wrapText="1"/>
    </xf>
    <xf numFmtId="0" fontId="40" fillId="22" borderId="0" applyAlignment="1" pivotButton="0" quotePrefix="0" xfId="0">
      <alignment wrapText="1"/>
    </xf>
    <xf numFmtId="0" fontId="19" fillId="10" borderId="0" applyAlignment="1" pivotButton="0" quotePrefix="0" xfId="0">
      <alignment wrapText="1"/>
    </xf>
    <xf numFmtId="0" fontId="16" fillId="22" borderId="0" pivotButton="0" quotePrefix="0" xfId="0"/>
    <xf numFmtId="0" fontId="0" fillId="10" borderId="0" applyAlignment="1" pivotButton="0" quotePrefix="0" xfId="0">
      <alignment wrapText="1"/>
    </xf>
    <xf numFmtId="0" fontId="47" fillId="22" borderId="0" applyAlignment="1" pivotButton="0" quotePrefix="0" xfId="0">
      <alignment wrapText="1"/>
    </xf>
    <xf numFmtId="0" fontId="46" fillId="10" borderId="0" applyAlignment="1" pivotButton="0" quotePrefix="0" xfId="0">
      <alignment wrapText="1"/>
    </xf>
    <xf numFmtId="0" fontId="0" fillId="7" borderId="0" applyAlignment="1" pivotButton="0" quotePrefix="0" xfId="0">
      <alignment wrapText="1"/>
    </xf>
    <xf numFmtId="0" fontId="0" fillId="6" borderId="0" applyAlignment="1" pivotButton="0" quotePrefix="0" xfId="0">
      <alignment wrapText="1"/>
    </xf>
    <xf numFmtId="0" fontId="16" fillId="22" borderId="0" applyAlignment="1" pivotButton="0" quotePrefix="0" xfId="0">
      <alignment wrapText="1"/>
    </xf>
    <xf numFmtId="0" fontId="0" fillId="0" borderId="36" pivotButton="0" quotePrefix="0" xfId="0"/>
    <xf numFmtId="0" fontId="0" fillId="0" borderId="37" applyProtection="1" pivotButton="0" quotePrefix="0" xfId="0">
      <protection locked="0" hidden="0"/>
    </xf>
    <xf numFmtId="0" fontId="0" fillId="0" borderId="36" applyProtection="1" pivotButton="0" quotePrefix="0" xfId="0">
      <protection locked="0" hidden="0"/>
    </xf>
    <xf numFmtId="0" fontId="0" fillId="0" borderId="37" pivotButton="0" quotePrefix="0" xfId="0"/>
    <xf numFmtId="166" fontId="22" fillId="7" borderId="22" applyAlignment="1" applyProtection="1" pivotButton="0" quotePrefix="0" xfId="0">
      <alignment horizontal="left" vertical="center"/>
      <protection locked="0" hidden="0"/>
    </xf>
    <xf numFmtId="166" fontId="22" fillId="4" borderId="22" applyAlignment="1" pivotButton="0" quotePrefix="0" xfId="0">
      <alignment horizontal="left" vertical="center"/>
    </xf>
    <xf numFmtId="0" fontId="0" fillId="0" borderId="18" pivotButton="0" quotePrefix="0" xfId="0"/>
    <xf numFmtId="0" fontId="0" fillId="0" borderId="20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  <xf numFmtId="0" fontId="0" fillId="0" borderId="12" pivotButton="0" quotePrefix="0" xfId="0"/>
    <xf numFmtId="0" fontId="0" fillId="0" borderId="11" applyProtection="1" pivotButton="0" quotePrefix="0" xfId="0">
      <protection locked="0" hidden="0"/>
    </xf>
    <xf numFmtId="0" fontId="0" fillId="0" borderId="15" applyProtection="1" pivotButton="0" quotePrefix="0" xfId="0">
      <protection locked="0" hidden="0"/>
    </xf>
    <xf numFmtId="0" fontId="0" fillId="0" borderId="14" applyProtection="1" pivotButton="0" quotePrefix="0" xfId="0">
      <protection locked="0" hidden="0"/>
    </xf>
    <xf numFmtId="0" fontId="0" fillId="0" borderId="0" applyProtection="1" pivotButton="0" quotePrefix="0" xfId="0">
      <protection locked="0" hidden="0"/>
    </xf>
    <xf numFmtId="0" fontId="0" fillId="0" borderId="16" applyProtection="1" pivotButton="0" quotePrefix="0" xfId="0">
      <protection locked="0" hidden="0"/>
    </xf>
    <xf numFmtId="0" fontId="0" fillId="0" borderId="14" pivotButton="0" quotePrefix="0" xfId="0"/>
    <xf numFmtId="0" fontId="0" fillId="0" borderId="5" pivotButton="0" quotePrefix="0" xfId="0"/>
    <xf numFmtId="0" fontId="0" fillId="0" borderId="17" applyProtection="1" pivotButton="0" quotePrefix="0" xfId="0">
      <protection locked="0" hidden="0"/>
    </xf>
    <xf numFmtId="0" fontId="0" fillId="0" borderId="18" applyProtection="1" pivotButton="0" quotePrefix="0" xfId="0">
      <protection locked="0" hidden="0"/>
    </xf>
    <xf numFmtId="0" fontId="0" fillId="0" borderId="19" applyProtection="1" pivotButton="0" quotePrefix="0" xfId="0">
      <protection locked="0" hidden="0"/>
    </xf>
    <xf numFmtId="0" fontId="0" fillId="0" borderId="17" pivotButton="0" quotePrefix="0" xfId="0"/>
    <xf numFmtId="166" fontId="22" fillId="7" borderId="22" applyAlignment="1" pivotButton="0" quotePrefix="0" xfId="0">
      <alignment horizontal="left" vertical="center"/>
    </xf>
    <xf numFmtId="0" fontId="0" fillId="0" borderId="15" pivotButton="0" quotePrefix="0" xfId="0"/>
    <xf numFmtId="0" fontId="0" fillId="0" borderId="16" pivotButton="0" quotePrefix="0" xfId="0"/>
    <xf numFmtId="0" fontId="0" fillId="0" borderId="19" pivotButton="0" quotePrefix="0" xfId="0"/>
    <xf numFmtId="165" fontId="1" fillId="2" borderId="0" pivotButton="0" quotePrefix="0" xfId="0"/>
    <xf numFmtId="0" fontId="34" fillId="5" borderId="38" applyAlignment="1" pivotButton="0" quotePrefix="0" xfId="0">
      <alignment horizontal="center" vertical="center"/>
    </xf>
    <xf numFmtId="0" fontId="0" fillId="0" borderId="25" pivotButton="0" quotePrefix="0" xfId="0"/>
    <xf numFmtId="0" fontId="0" fillId="0" borderId="30" pivotButton="0" quotePrefix="0" xfId="0"/>
    <xf numFmtId="0" fontId="0" fillId="0" borderId="28" pivotButton="0" quotePrefix="0" xfId="0"/>
    <xf numFmtId="0" fontId="0" fillId="0" borderId="31" pivotButton="0" quotePrefix="0" xfId="0"/>
    <xf numFmtId="0" fontId="0" fillId="0" borderId="29" pivotButton="0" quotePrefix="0" xfId="0"/>
    <xf numFmtId="0" fontId="0" fillId="0" borderId="26" pivotButton="0" quotePrefix="0" xfId="0"/>
    <xf numFmtId="0" fontId="0" fillId="0" borderId="32" pivotButton="0" quotePrefix="0" xfId="0"/>
    <xf numFmtId="0" fontId="36" fillId="5" borderId="38" applyAlignment="1" pivotButton="0" quotePrefix="0" xfId="0">
      <alignment horizontal="center" vertical="center"/>
    </xf>
    <xf numFmtId="166" fontId="28" fillId="0" borderId="0" pivotButton="0" quotePrefix="0" xfId="0"/>
    <xf numFmtId="166" fontId="0" fillId="0" borderId="0" pivotButton="0" quotePrefix="0" xfId="0"/>
  </cellXfs>
  <cellStyles count="1">
    <cellStyle name="Normal" xfId="0" builtinId="0"/>
  </cellStyles>
  <dxfs count="37"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name val="Aptos"/>
        <color rgb="FF243447"/>
      </font>
    </dxf>
    <dxf>
      <font>
        <name val="Aptos"/>
        <color rgb="FF243447"/>
      </font>
    </dxf>
    <dxf>
      <font>
        <name val="Aptos"/>
        <color rgb="FF243447"/>
      </font>
    </dxf>
    <dxf>
      <font>
        <name val="Aptos"/>
        <color rgb="FF243447"/>
      </font>
    </dxf>
    <dxf>
      <font>
        <name val="Aptos"/>
        <color rgb="FF243447"/>
      </font>
    </dxf>
    <dxf>
      <font>
        <name val="Aptos"/>
        <color rgb="FF243447"/>
      </font>
      <numFmt numFmtId="168" formatCode="dd/mm/yyyy\ hh:mm"/>
    </dxf>
    <dxf>
      <font>
        <name val="Aptos"/>
        <color rgb="FF243447"/>
      </font>
    </dxf>
    <dxf>
      <font>
        <name val="Aptos"/>
        <color rgb="FF243447"/>
      </font>
    </dxf>
    <dxf>
      <font>
        <name val="Aptos"/>
        <color rgb="FF243447"/>
      </font>
    </dxf>
    <dxf>
      <font>
        <name val="Aptos"/>
        <color rgb="FF243447"/>
      </font>
    </dxf>
    <dxf>
      <font>
        <name val="Aptos"/>
        <color rgb="FF243447"/>
      </font>
    </dxf>
    <dxf>
      <font>
        <name val="Aptos"/>
        <color rgb="FF243447"/>
      </font>
      <numFmt numFmtId="13" formatCode="0%"/>
    </dxf>
    <dxf>
      <font>
        <name val="Aptos"/>
        <color rgb="FF243447"/>
      </font>
      <numFmt numFmtId="165" formatCode="dd/mm/yyyy"/>
    </dxf>
    <dxf>
      <font>
        <name val="Aptos"/>
        <color rgb="FF243447"/>
      </font>
      <numFmt numFmtId="165" formatCode="dd/mm/yyyy"/>
    </dxf>
    <dxf>
      <font>
        <name val="Aptos"/>
        <color rgb="FF243447"/>
      </font>
    </dxf>
    <dxf>
      <font>
        <name val="Aptos"/>
        <color rgb="FF243447"/>
      </font>
      <numFmt numFmtId="167" formatCode="#,##0.00\ &quot;TL&quot;"/>
    </dxf>
    <dxf>
      <font>
        <name val="Aptos"/>
        <color rgb="FF243447"/>
      </font>
    </dxf>
    <dxf>
      <font>
        <name val="Aptos"/>
        <color rgb="FF243447"/>
      </font>
      <numFmt numFmtId="165" formatCode="dd/mm/yyyy"/>
    </dxf>
    <dxf>
      <font>
        <name val="Aptos"/>
        <color rgb="FF243447"/>
      </font>
    </dxf>
    <dxf>
      <font>
        <name val="Aptos"/>
        <color rgb="FF243447"/>
      </font>
    </dxf>
    <dxf>
      <font>
        <name val="Aptos"/>
        <color rgb="FF243447"/>
      </font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name val="Aptos"/>
        <color rgb="FF243447"/>
      </font>
    </dxf>
    <dxf>
      <font>
        <name val="Aptos"/>
        <color rgb="FF243447"/>
      </font>
    </dxf>
    <dxf>
      <font>
        <name val="Aptos"/>
        <color rgb="FF243447"/>
      </font>
    </dxf>
    <dxf>
      <font>
        <name val="Aptos"/>
        <color rgb="FF243447"/>
      </font>
    </dxf>
    <dxf>
      <font>
        <name val="Aptos"/>
        <color rgb="FF243447"/>
      </font>
    </dxf>
    <dxf>
      <font>
        <name val="Aptos"/>
        <color rgb="FF243447"/>
      </font>
    </dxf>
    <dxf>
      <font>
        <name val="Aptos"/>
        <color rgb="FF243447"/>
      </font>
    </dxf>
    <dxf>
      <font>
        <name val="Aptos"/>
        <color rgb="FF243447"/>
      </font>
    </dxf>
    <dxf>
      <font>
        <b val="1"/>
        <color rgb="FFC00000"/>
      </font>
      <fill>
        <patternFill patternType="solid">
          <fgColor indexed="64"/>
          <bgColor rgb="FFFCE8E6"/>
        </patternFill>
      </fill>
    </dxf>
    <dxf>
      <numFmt numFmtId="13" formatCode="0%"/>
    </dxf>
    <dxf>
      <numFmt numFmtId="4" formatCode="#,##0.00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worksheet" Target="/xl/worksheets/sheet22.xml" Id="rId22" /><Relationship Type="http://schemas.openxmlformats.org/officeDocument/2006/relationships/worksheet" Target="/xl/worksheets/sheet23.xml" Id="rId23" /><Relationship Type="http://schemas.openxmlformats.org/officeDocument/2006/relationships/worksheet" Target="/xl/worksheets/sheet24.xml" Id="rId24" /><Relationship Type="http://schemas.openxmlformats.org/officeDocument/2006/relationships/worksheet" Target="/xl/worksheets/sheet25.xml" Id="rId25" /><Relationship Type="http://schemas.openxmlformats.org/officeDocument/2006/relationships/worksheet" Target="/xl/worksheets/sheet26.xml" Id="rId26" /><Relationship Type="http://schemas.openxmlformats.org/officeDocument/2006/relationships/worksheet" Target="/xl/worksheets/sheet27.xml" Id="rId27" /><Relationship Type="http://schemas.openxmlformats.org/officeDocument/2006/relationships/worksheet" Target="/xl/worksheets/sheet28.xml" Id="rId28" /><Relationship Type="http://schemas.openxmlformats.org/officeDocument/2006/relationships/worksheet" Target="/xl/worksheets/sheet29.xml" Id="rId29" /><Relationship Type="http://schemas.openxmlformats.org/officeDocument/2006/relationships/worksheet" Target="/xl/worksheets/sheet30.xml" Id="rId30" /><Relationship Type="http://schemas.openxmlformats.org/officeDocument/2006/relationships/worksheet" Target="/xl/worksheets/sheet31.xml" Id="rId31" /><Relationship Type="http://schemas.openxmlformats.org/officeDocument/2006/relationships/worksheet" Target="/xl/worksheets/sheet32.xml" Id="rId32" /><Relationship Type="http://schemas.openxmlformats.org/officeDocument/2006/relationships/worksheet" Target="/xl/worksheets/sheet33.xml" Id="rId33" /><Relationship Type="http://schemas.openxmlformats.org/officeDocument/2006/relationships/styles" Target="styles.xml" Id="rId34" /><Relationship Type="http://schemas.openxmlformats.org/officeDocument/2006/relationships/theme" Target="theme/theme1.xml" Id="rId35" /><Relationship Type="http://schemas.microsoft.com/office/2006/relationships/vbaProject" Target="vbaProject.bin" Id="rId36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rgbClr val="17365D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Ürün Bazında Gaz Kapasitesi</a:t>
            </a:r>
          </a:p>
        </rich>
      </tx>
      <overlay val="0"/>
      <spPr>
        <a:noFill/>
        <a:ln>
          <a:noFill/>
          <a:prstDash val="solid"/>
        </a:ln>
      </spPr>
    </title>
    <plotArea>
      <layout/>
      <barChart>
        <barDir val="bar"/>
        <grouping val="clustered"/>
        <varyColors val="0"/>
        <ser>
          <idx val="0"/>
          <order val="0"/>
          <tx>
            <v>Gaz Kapasitesi (m³)</v>
          </tx>
          <spPr>
            <a:solidFill>
              <a:srgbClr val="2F75B5"/>
            </a:solidFill>
            <a:ln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None</a:t>
                </a:r>
                <a:endParaRPr lang="en-US"/>
              </a:p>
            </txPr>
            <dLblPos val="outEnd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'Analiz Özeti'!$A$11:$A$20</f>
              <strCache>
                <ptCount val="10"/>
                <pt idx="0">
                  <v>Y.S. HELYUM GAZI</v>
                </pt>
                <pt idx="1">
                  <v>SAF HELYUM GAZI</v>
                </pt>
                <pt idx="2">
                  <v>Y.S. ARGON GAZI</v>
                </pt>
                <pt idx="3">
                  <v>Y.S. AZOT GAZI</v>
                </pt>
                <pt idx="4">
                  <v>SAF HIDROJEN GAZI</v>
                </pt>
                <pt idx="5">
                  <v>Y.S. HIDROJEN GAZI</v>
                </pt>
                <pt idx="6">
                  <v>Y.S. OKSIJEN GAZI</v>
                </pt>
                <pt idx="7">
                  <v>Y.S. KURUHAVA GAZI (4.8 GRADE)</v>
                </pt>
                <pt idx="8">
                  <v>Y.S. KURUHAVA GAZI (5.0 GRADE)</v>
                </pt>
                <pt idx="9">
                  <v>P10 GAZI</v>
                </pt>
              </strCache>
            </strRef>
          </cat>
          <val>
            <numRef>
              <f>'Analiz Özeti'!$C$11:$C$20</f>
              <numCache>
                <formatCode>0.00</formatCode>
                <ptCount val="10"/>
                <pt idx="0">
                  <v>9.199999999999999</v>
                </pt>
                <pt idx="1">
                  <v>9.199999999999999</v>
                </pt>
                <pt idx="2">
                  <v>12.06</v>
                </pt>
                <pt idx="3">
                  <v>10.5</v>
                </pt>
                <pt idx="4">
                  <v>8.9</v>
                </pt>
                <pt idx="5">
                  <v>8.9</v>
                </pt>
                <pt idx="6">
                  <v>10.6</v>
                </pt>
                <pt idx="7">
                  <v>9.800000000000001</v>
                </pt>
                <pt idx="8">
                  <v>9.800000000000001</v>
                </pt>
                <pt idx="9">
                  <v>10.7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82"/>
        <axId val="411515400"/>
        <axId val="411715592"/>
      </barChart>
      <catAx>
        <axId val="411515400"/>
        <scaling>
          <orientation val="maxMin"/>
        </scaling>
        <delete val="0"/>
        <axPos val="l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15592"/>
        <crosses val="autoZero"/>
        <auto val="1"/>
        <lblAlgn val="ctr"/>
        <lblOffset val="100"/>
        <noMultiLvlLbl val="0"/>
      </catAx>
      <valAx>
        <axId val="411715592"/>
        <scaling>
          <orientation val="minMax"/>
        </scaling>
        <delete val="0"/>
        <axPos val="t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Gaz Miktarı (m³)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.00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515400"/>
        <crosses val="autoZero"/>
        <crossBetween val="between"/>
        <majorUnit val="2"/>
      </valAx>
    </plotArea>
    <plotVisOnly val="1"/>
    <dispBlanksAs val="gap"/>
  </chart>
  <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rgbClr val="17365D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Ürün Bazında Gaz Kapasitesi</a:t>
            </a:r>
          </a:p>
        </rich>
      </tx>
      <overlay val="0"/>
      <spPr>
        <a:noFill/>
        <a:ln>
          <a:noFill/>
          <a:prstDash val="solid"/>
        </a:ln>
      </spPr>
    </title>
    <plotArea>
      <layout/>
      <barChart>
        <barDir val="bar"/>
        <grouping val="clustered"/>
        <varyColors val="0"/>
        <ser>
          <idx val="0"/>
          <order val="0"/>
          <tx>
            <v>Gaz Kapasitesi (m³)</v>
          </tx>
          <spPr>
            <a:solidFill>
              <a:srgbClr val="2F75B5"/>
            </a:solidFill>
            <a:ln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None</a:t>
                </a:r>
                <a:endParaRPr lang="en-US"/>
              </a:p>
            </txPr>
            <dLblPos val="outEnd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YDK_Analiz_Özeti_0927_1625!$A$11:$A$20</f>
              <strCache>
                <ptCount val="10"/>
                <pt idx="0">
                  <v>Y.S. HELYUM GAZI</v>
                </pt>
                <pt idx="1">
                  <v>SAF HELYUM GAZI</v>
                </pt>
                <pt idx="2">
                  <v>Y.S. ARGON GAZI</v>
                </pt>
                <pt idx="3">
                  <v>Y.S. AZOT GAZI</v>
                </pt>
                <pt idx="4">
                  <v>SAF HIDROJEN GAZI</v>
                </pt>
                <pt idx="5">
                  <v>Y.S. HIDROJEN GAZI</v>
                </pt>
                <pt idx="6">
                  <v>Y.S. OKSIJEN GAZI</v>
                </pt>
                <pt idx="7">
                  <v>Y.S. KURUHAVA GAZI (4.8 GRADE)</v>
                </pt>
                <pt idx="8">
                  <v>Y.S. KURUHAVA GAZI (5.0 GRADE)</v>
                </pt>
                <pt idx="9">
                  <v>P10 GAZI</v>
                </pt>
              </strCache>
            </strRef>
          </cat>
          <val>
            <numRef>
              <f>YDK_Analiz_Özeti_0927_1625!$C$11:$C$20</f>
              <numCache>
                <formatCode>0.00</formatCode>
                <ptCount val="10"/>
                <pt idx="0">
                  <v>9.199999999999999</v>
                </pt>
                <pt idx="1">
                  <v>9.199999999999999</v>
                </pt>
                <pt idx="2">
                  <v>12.06</v>
                </pt>
                <pt idx="3">
                  <v>10.5</v>
                </pt>
                <pt idx="4">
                  <v>8.9</v>
                </pt>
                <pt idx="5">
                  <v>8.9</v>
                </pt>
                <pt idx="6">
                  <v>10.6</v>
                </pt>
                <pt idx="7">
                  <v>9.800000000000001</v>
                </pt>
                <pt idx="8">
                  <v>9.800000000000001</v>
                </pt>
                <pt idx="9">
                  <v>10.7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82"/>
        <axId val="411515400"/>
        <axId val="411715592"/>
      </barChart>
      <catAx>
        <axId val="411515400"/>
        <scaling>
          <orientation val="maxMin"/>
        </scaling>
        <delete val="0"/>
        <axPos val="l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15592"/>
        <crosses val="autoZero"/>
        <auto val="1"/>
        <lblAlgn val="ctr"/>
        <lblOffset val="100"/>
        <noMultiLvlLbl val="0"/>
      </catAx>
      <valAx>
        <axId val="411715592"/>
        <scaling>
          <orientation val="minMax"/>
        </scaling>
        <delete val="0"/>
        <axPos val="t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Gaz Miktarı (m³)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.00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515400"/>
        <crosses val="autoZero"/>
        <crossBetween val="between"/>
        <majorUnit val="2"/>
      </valAx>
    </plotArea>
    <plotVisOnly val="1"/>
    <dispBlanksAs val="gap"/>
  </chart>
  <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image" Target="/xl/media/image1.jpeg" Id="rId1" /><Relationship Type="http://schemas.openxmlformats.org/officeDocument/2006/relationships/image" Target="/xl/media/image2.png" Id="rId2" /></Relationships>
</file>

<file path=xl/drawings/_rels/drawing2.xml.rels><Relationships xmlns="http://schemas.openxmlformats.org/package/2006/relationships"><Relationship Type="http://schemas.openxmlformats.org/officeDocument/2006/relationships/image" Target="/xl/media/image3.jpeg" Id="rId1" /><Relationship Type="http://schemas.openxmlformats.org/officeDocument/2006/relationships/image" Target="/xl/media/image4.png" Id="rId2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200000</colOff>
      <row>0</row>
      <rowOff>50000</rowOff>
    </from>
    <ext cx="1123950" cy="1095375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  <a:ln>
          <a:prstDash val="solid"/>
        </a:ln>
      </spPr>
    </pic>
    <clientData/>
  </oneCellAnchor>
  <oneCellAnchor>
    <from>
      <col>7</col>
      <colOff>200000</colOff>
      <row>34</row>
      <rowOff>50000</rowOff>
    </from>
    <ext cx="1885950" cy="10858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  <a:ln>
          <a:prstDash val="solid"/>
        </a:ln>
      </spPr>
    </pic>
    <clientData/>
  </oneCellAnchor>
</wsDr>
</file>

<file path=xl/drawings/drawing2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0</col>
      <colOff>200000</colOff>
      <row>0</row>
      <rowOff>50000</rowOff>
    </from>
    <ext cx="1123950" cy="1095375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  <a:ln>
          <a:prstDash val="solid"/>
        </a:ln>
      </spPr>
    </pic>
    <clientData/>
  </oneCellAnchor>
  <oneCellAnchor>
    <from>
      <col>7</col>
      <colOff>200000</colOff>
      <row>34</row>
      <rowOff>50000</rowOff>
    </from>
    <ext cx="1885950" cy="1085850"/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  <a:ln>
          <a:prstDash val="solid"/>
        </a:ln>
      </spPr>
    </pic>
    <clientData/>
  </one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4</col>
      <colOff>0</colOff>
      <row>9</row>
      <rowOff>0</rowOff>
    </from>
    <to>
      <col>10</col>
      <colOff>0</colOff>
      <row>27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4</col>
      <colOff>0</colOff>
      <row>9</row>
      <rowOff>0</rowOff>
    </from>
    <to>
      <col>10</col>
      <colOff>0</colOff>
      <row>27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blUrunler" displayName="tblUrunler" ref="A1:G11" headerRowCount="1" totalsRowShown="0">
  <autoFilter ref="A1:G11"/>
  <tableColumns count="7">
    <tableColumn id="1" name="Urun"/>
    <tableColumn id="2" name="Bar"/>
    <tableColumn id="3" name="Gaz"/>
    <tableColumn id="4" name="Standart Birim Fiyat" dataDxfId="36"/>
    <tableColumn id="5" name="Para Birimi"/>
    <tableColumn id="6" name="KDV" dataDxfId="35"/>
    <tableColumn id="7" name="Aktif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Musteriler" displayName="tblMusteriler" ref="A4:F5" headerRowCount="1" totalsRowShown="0" headerRowDxfId="33" dataDxfId="32">
  <autoFilter ref="A4:F5"/>
  <tableColumns count="6">
    <tableColumn id="1" name="Firma" dataDxfId="31"/>
    <tableColumn id="2" name="Yetkili" dataDxfId="30"/>
    <tableColumn id="3" name="E-posta" dataDxfId="29"/>
    <tableColumn id="4" name="Telefon" dataDxfId="28"/>
    <tableColumn id="5" name="Adres" dataDxfId="27"/>
    <tableColumn id="6" name="Aktif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TeklifArsivi" displayName="tblTeklifArsivi" ref="A4:K5" headerRowCount="1" insertRow="1" totalsRowShown="0" headerRowDxfId="23" dataDxfId="22">
  <autoFilter ref="A4:K5"/>
  <tableColumns count="11">
    <tableColumn id="1" name="Teklif No" dataDxfId="21"/>
    <tableColumn id="2" name="Tarih" dataDxfId="20"/>
    <tableColumn id="3" name="Müşteri" dataDxfId="19"/>
    <tableColumn id="4" name="Tutar (TL)" dataDxfId="18"/>
    <tableColumn id="5" name="Durum" dataDxfId="17"/>
    <tableColumn id="6" name="Geçerlilik Tarihi" dataDxfId="16"/>
    <tableColumn id="7" name="Takip Tarihi" dataDxfId="15"/>
    <tableColumn id="8" name="Kazanma Olasılığı" dataDxfId="14"/>
    <tableColumn id="9" name="PDF Yolu" dataDxfId="13"/>
    <tableColumn id="10" name="Sorumlu" dataDxfId="12"/>
    <tableColumn id="11" name="Not" dataDxfId="1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IslemGunlugu" displayName="tblIslemGunlugu" ref="A4:F8" headerRowCount="1" totalsRowShown="0" headerRowDxfId="10" dataDxfId="9">
  <autoFilter ref="A4:F8"/>
  <tableColumns count="6">
    <tableColumn id="1" name="Zaman" dataDxfId="8"/>
    <tableColumn id="2" name="İşlem" dataDxfId="7"/>
    <tableColumn id="3" name="Teklif No" dataDxfId="6"/>
    <tableColumn id="4" name="Müşteri" dataDxfId="5"/>
    <tableColumn id="5" name="Dosya Yolu" dataDxfId="4"/>
    <tableColumn id="6" name="Sonuç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19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20.xml.rels><Relationships xmlns="http://schemas.openxmlformats.org/package/2006/relationships"><Relationship Type="http://schemas.openxmlformats.org/officeDocument/2006/relationships/table" Target="/xl/tables/table3.xml" Id="rId1" /></Relationships>
</file>

<file path=xl/worksheets/_rels/sheet21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sheet1.xml><?xml version="1.0" encoding="utf-8"?>
<worksheet xmlns="http://schemas.openxmlformats.org/spreadsheetml/2006/main">
  <sheetPr codeName="Sayfa1">
    <outlinePr summaryBelow="1" summaryRight="1"/>
    <pageSetUpPr fitToPage="1"/>
  </sheetPr>
  <dimension ref="A1:K40"/>
  <sheetViews>
    <sheetView showGridLines="0" tabSelected="1" zoomScale="90" zoomScaleNormal="90" workbookViewId="0">
      <selection activeCell="I14" sqref="I14"/>
    </sheetView>
  </sheetViews>
  <sheetFormatPr baseColWidth="8" defaultRowHeight="15"/>
  <cols>
    <col width="29.5703125" customWidth="1" style="164" min="1" max="1"/>
    <col width="8" customWidth="1" style="164" min="2" max="3"/>
    <col width="9.140625" customWidth="1" style="164" min="4" max="4"/>
    <col width="13" customWidth="1" style="164" min="5" max="6"/>
    <col width="8.5703125" customWidth="1" style="164" min="7" max="7"/>
    <col width="15.5703125" customWidth="1" style="164" min="8" max="8"/>
    <col width="11.85546875" customWidth="1" style="164" min="9" max="9"/>
    <col width="10.42578125" customWidth="1" style="164" min="10" max="10"/>
    <col width="15.5703125" customWidth="1" style="164" min="11" max="11"/>
  </cols>
  <sheetData>
    <row r="1" ht="27" customHeight="1" s="164">
      <c r="A1" s="151" t="n"/>
      <c r="B1" s="152" t="inlineStr">
        <is>
          <t>TEKLİF FORMU</t>
        </is>
      </c>
    </row>
    <row r="2" ht="27" customHeight="1" s="164"/>
    <row r="3" ht="23.25" customHeight="1" s="164">
      <c r="B3" s="150" t="inlineStr">
        <is>
          <t>Müşteri</t>
        </is>
      </c>
      <c r="C3" s="261" t="n"/>
      <c r="D3" s="153" t="n"/>
      <c r="E3" s="262" t="n"/>
      <c r="F3" s="262" t="n"/>
      <c r="G3" s="263" t="n"/>
      <c r="H3" s="150" t="inlineStr">
        <is>
          <t>Teklif No</t>
        </is>
      </c>
      <c r="I3" s="261" t="n"/>
      <c r="J3" s="155" t="inlineStr">
        <is>
          <t>TKL-2026-0001</t>
        </is>
      </c>
      <c r="K3" s="263" t="n"/>
    </row>
    <row r="4" ht="23.25" customHeight="1" s="164">
      <c r="B4" s="150" t="inlineStr">
        <is>
          <t>Yetkili</t>
        </is>
      </c>
      <c r="C4" s="261" t="n"/>
      <c r="D4" s="154">
        <f>IF(D3="","",IFERROR(_xlfn.XLOOKUP(D3,Müşteriler!A:A,Müşteriler!B:B,""),""))</f>
        <v/>
      </c>
      <c r="E4" s="264" t="n"/>
      <c r="F4" s="264" t="n"/>
      <c r="G4" s="261" t="n"/>
      <c r="H4" s="150" t="inlineStr">
        <is>
          <t>Tarih</t>
        </is>
      </c>
      <c r="I4" s="261" t="n"/>
      <c r="J4" s="265" t="n">
        <v>46292</v>
      </c>
      <c r="K4" s="263" t="n"/>
    </row>
    <row r="5" ht="23.25" customHeight="1" s="164">
      <c r="B5" s="150" t="inlineStr">
        <is>
          <t>Geçerlilik Süresi</t>
        </is>
      </c>
      <c r="C5" s="261" t="n"/>
      <c r="D5" s="154">
        <f>Ayarlar!B7&amp;" Gün"</f>
        <v/>
      </c>
      <c r="E5" s="264" t="n"/>
      <c r="F5" s="264" t="n"/>
      <c r="G5" s="261" t="n"/>
      <c r="H5" s="150" t="inlineStr">
        <is>
          <t>Geçerlilik Tarihi</t>
        </is>
      </c>
      <c r="I5" s="261" t="n"/>
      <c r="J5" s="266">
        <f>IF(J4="","",J4+IFERROR(VALUE(SUBSTITUTE(D5," Gün","")),30))</f>
        <v/>
      </c>
      <c r="K5" s="261" t="n"/>
    </row>
    <row r="6" ht="24" customHeight="1" s="164">
      <c r="A6" s="110" t="inlineStr">
        <is>
          <t>TEKLİF KALEMLERİ</t>
        </is>
      </c>
    </row>
    <row r="7" ht="33.75" customHeight="1" s="164">
      <c r="A7" s="32" t="inlineStr">
        <is>
          <t>Ürün</t>
        </is>
      </c>
      <c r="B7" s="32" t="inlineStr">
        <is>
          <t>BAR</t>
        </is>
      </c>
      <c r="C7" s="32" t="inlineStr">
        <is>
          <t>Gaz Miktarı (m³)</t>
        </is>
      </c>
      <c r="D7" s="32" t="inlineStr">
        <is>
          <t>Miktar</t>
        </is>
      </c>
      <c r="E7" s="32" t="inlineStr">
        <is>
          <t>Birim Fiyat</t>
        </is>
      </c>
      <c r="F7" s="32" t="inlineStr">
        <is>
          <t>Toplam</t>
        </is>
      </c>
      <c r="G7" s="32" t="inlineStr">
        <is>
          <t>KDV %</t>
        </is>
      </c>
      <c r="H7" s="32" t="inlineStr">
        <is>
          <t>KDV Dahil Toplam</t>
        </is>
      </c>
      <c r="I7" s="32" t="inlineStr">
        <is>
          <t>Para Birimi</t>
        </is>
      </c>
      <c r="J7" s="32" t="inlineStr">
        <is>
          <t>Kur</t>
        </is>
      </c>
      <c r="K7" s="32" t="inlineStr">
        <is>
          <t>KDV Dahil TL</t>
        </is>
      </c>
    </row>
    <row r="8" ht="20.25" customHeight="1" s="164">
      <c r="A8" s="62" t="inlineStr">
        <is>
          <t>Y.S. AZOT GAZI</t>
        </is>
      </c>
      <c r="B8" s="34">
        <f>IF(A8="","",IFERROR(_xlfn.XLOOKUP(A8,tblUrunler[Urun],tblUrunler[Bar],""),""))</f>
        <v/>
      </c>
      <c r="C8" s="34">
        <f>IF(A8="","",IFERROR(_xlfn.XLOOKUP(A8,tblUrunler[Urun],tblUrunler[Gaz],""),""))</f>
        <v/>
      </c>
      <c r="D8" s="63" t="n">
        <v>1</v>
      </c>
      <c r="E8" s="63" t="n">
        <v>100</v>
      </c>
      <c r="F8" s="36">
        <f>IF(OR(C8="",D8="",E8=""),"",C8*D8*E8)</f>
        <v/>
      </c>
      <c r="G8" s="64" t="n">
        <v>0.2</v>
      </c>
      <c r="H8" s="36">
        <f>IF(F8="","",F8*(1+G8))</f>
        <v/>
      </c>
      <c r="I8" s="63" t="inlineStr">
        <is>
          <t>TRY</t>
        </is>
      </c>
      <c r="J8" s="38">
        <f>IFERROR(VLOOKUP(I8,'Kur Bilgisi'!$A$6:$C$9,3,FALSE),"")</f>
        <v/>
      </c>
      <c r="K8" s="36">
        <f>IF(OR(H8="",J8=""),"",H8*J8)</f>
        <v/>
      </c>
    </row>
    <row r="9" ht="20.25" customHeight="1" s="164">
      <c r="A9" s="62" t="inlineStr">
        <is>
          <t>Y.S. ARGON GAZI</t>
        </is>
      </c>
      <c r="B9" s="34">
        <f>IF(A9="","",IFERROR(_xlfn.XLOOKUP(A9,tblUrunler[Urun],tblUrunler[Bar],""),""))</f>
        <v/>
      </c>
      <c r="C9" s="34">
        <f>IF(A9="","",IFERROR(_xlfn.XLOOKUP(A9,tblUrunler[Urun],tblUrunler[Gaz],""),""))</f>
        <v/>
      </c>
      <c r="D9" s="63" t="n">
        <v>2</v>
      </c>
      <c r="E9" s="63" t="n">
        <v>1000</v>
      </c>
      <c r="F9" s="36">
        <f>IF(OR(C9="",D9="",E9=""),"",C9*D9*E9)</f>
        <v/>
      </c>
      <c r="G9" s="64" t="n">
        <v>0.2</v>
      </c>
      <c r="H9" s="36">
        <f>IF(F9="","",F9*(1+G9))</f>
        <v/>
      </c>
      <c r="I9" s="63" t="inlineStr">
        <is>
          <t>TRY</t>
        </is>
      </c>
      <c r="J9" s="38">
        <f>IFERROR(VLOOKUP(I9,'Kur Bilgisi'!$A$6:$C$9,3,FALSE),"")</f>
        <v/>
      </c>
      <c r="K9" s="36">
        <f>IF(OR(H9="",J9=""),"",H9*J9)</f>
        <v/>
      </c>
    </row>
    <row r="10" ht="20.25" customHeight="1" s="164">
      <c r="A10" s="62" t="inlineStr">
        <is>
          <t>Y.S. HELYUM GAZI</t>
        </is>
      </c>
      <c r="B10" s="34">
        <f>IF(A10="","",IFERROR(_xlfn.XLOOKUP(A10,tblUrunler[Urun],tblUrunler[Bar],""),""))</f>
        <v/>
      </c>
      <c r="C10" s="34">
        <f>IF(A10="","",IFERROR(_xlfn.XLOOKUP(A10,tblUrunler[Urun],tblUrunler[Gaz],""),""))</f>
        <v/>
      </c>
      <c r="D10" s="63" t="n">
        <v>1</v>
      </c>
      <c r="E10" s="63" t="n">
        <v>150</v>
      </c>
      <c r="F10" s="36">
        <f>IF(OR(C10="",D10="",E10=""),"",C10*D10*E10)</f>
        <v/>
      </c>
      <c r="G10" s="64" t="n">
        <v>0.2</v>
      </c>
      <c r="H10" s="36">
        <f>IF(F10="","",F10*(1+G10))</f>
        <v/>
      </c>
      <c r="I10" s="63" t="inlineStr">
        <is>
          <t>USD</t>
        </is>
      </c>
      <c r="J10" s="38">
        <f>IFERROR(VLOOKUP(I10,'Kur Bilgisi'!$A$6:$C$9,3,FALSE),"")</f>
        <v/>
      </c>
      <c r="K10" s="36">
        <f>IF(OR(H10="",J10=""),"",H10*J10)</f>
        <v/>
      </c>
    </row>
    <row r="11" ht="20.25" customHeight="1" s="164">
      <c r="A11" s="62" t="inlineStr">
        <is>
          <t>Y.S. HIDROJEN GAZI</t>
        </is>
      </c>
      <c r="B11" s="34">
        <f>IF(A11="","",IFERROR(_xlfn.XLOOKUP(A11,tblUrunler[Urun],tblUrunler[Bar],""),""))</f>
        <v/>
      </c>
      <c r="C11" s="34">
        <f>IF(A11="","",IFERROR(_xlfn.XLOOKUP(A11,tblUrunler[Urun],tblUrunler[Gaz],""),""))</f>
        <v/>
      </c>
      <c r="D11" s="63" t="n">
        <v>1</v>
      </c>
      <c r="E11" s="63" t="n">
        <v>20</v>
      </c>
      <c r="F11" s="36">
        <f>IF(OR(C11="",D11="",E11=""),"",C11*D11*E11)</f>
        <v/>
      </c>
      <c r="G11" s="64" t="n">
        <v>0.2</v>
      </c>
      <c r="H11" s="36">
        <f>IF(F11="","",F11*(1+G11))</f>
        <v/>
      </c>
      <c r="I11" s="63" t="inlineStr">
        <is>
          <t>EUR</t>
        </is>
      </c>
      <c r="J11" s="38">
        <f>IFERROR(VLOOKUP(I11,'Kur Bilgisi'!$A$6:$C$9,3,FALSE),"")</f>
        <v/>
      </c>
      <c r="K11" s="36">
        <f>IF(OR(H11="",J11=""),"",H11*J11)</f>
        <v/>
      </c>
    </row>
    <row r="12" ht="20.25" customHeight="1" s="164">
      <c r="A12" s="62" t="inlineStr">
        <is>
          <t>Y.S. KURUHAVA GAZI (4.8 GRADE)</t>
        </is>
      </c>
      <c r="B12" s="34">
        <f>IF(A12="","",IFERROR(_xlfn.XLOOKUP(A12,tblUrunler[Urun],tblUrunler[Bar],""),""))</f>
        <v/>
      </c>
      <c r="C12" s="34">
        <f>IF(A12="","",IFERROR(_xlfn.XLOOKUP(A12,tblUrunler[Urun],tblUrunler[Gaz],""),""))</f>
        <v/>
      </c>
      <c r="D12" s="63" t="n">
        <v>1</v>
      </c>
      <c r="E12" s="63" t="n">
        <v>50</v>
      </c>
      <c r="F12" s="36">
        <f>IF(OR(C12="",D12="",E12=""),"",C12*D12*E12)</f>
        <v/>
      </c>
      <c r="G12" s="64" t="n">
        <v>0.2</v>
      </c>
      <c r="H12" s="36">
        <f>IF(F12="","",F12*(1+G12))</f>
        <v/>
      </c>
      <c r="I12" s="63" t="inlineStr">
        <is>
          <t>GBP</t>
        </is>
      </c>
      <c r="J12" s="38">
        <f>IFERROR(VLOOKUP(I12,'Kur Bilgisi'!$A$6:$C$9,3,FALSE),"")</f>
        <v/>
      </c>
      <c r="K12" s="36">
        <f>IF(OR(H12="",J12=""),"",H12*J12)</f>
        <v/>
      </c>
    </row>
    <row r="13" ht="20.25" customHeight="1" s="164">
      <c r="A13" s="62" t="n"/>
      <c r="B13" s="34">
        <f>IF(A13="","",IFERROR(_xlfn.XLOOKUP(A13,tblUrunler[Urun],tblUrunler[Bar],""),""))</f>
        <v/>
      </c>
      <c r="C13" s="34">
        <f>IF(A13="","",IFERROR(_xlfn.XLOOKUP(A13,tblUrunler[Urun],tblUrunler[Gaz],""),""))</f>
        <v/>
      </c>
      <c r="D13" s="63" t="n"/>
      <c r="E13" s="63" t="n"/>
      <c r="F13" s="36">
        <f>IF(OR(C13="",D13="",E13=""),"",C13*D13*E13)</f>
        <v/>
      </c>
      <c r="G13" s="64" t="n">
        <v>0.2</v>
      </c>
      <c r="H13" s="36">
        <f>IF(F13="","",F13*(1+G13))</f>
        <v/>
      </c>
      <c r="I13" s="63" t="inlineStr">
        <is>
          <t>TRY</t>
        </is>
      </c>
      <c r="J13" s="38">
        <f>IFERROR(VLOOKUP(I13,'Kur Bilgisi'!$A$6:$C$9,3,FALSE),"")</f>
        <v/>
      </c>
      <c r="K13" s="36">
        <f>IF(OR(H13="",J13=""),"",H13*J13)</f>
        <v/>
      </c>
    </row>
    <row r="14" ht="20.25" customHeight="1" s="164">
      <c r="A14" s="62" t="n"/>
      <c r="B14" s="34">
        <f>IF(A14="","",IFERROR(_xlfn.XLOOKUP(A14,tblUrunler[Urun],tblUrunler[Bar],""),""))</f>
        <v/>
      </c>
      <c r="C14" s="34">
        <f>IF(A14="","",IFERROR(_xlfn.XLOOKUP(A14,tblUrunler[Urun],tblUrunler[Gaz],""),""))</f>
        <v/>
      </c>
      <c r="D14" s="63" t="n"/>
      <c r="E14" s="63" t="n"/>
      <c r="F14" s="36">
        <f>IF(OR(C14="",D14="",E14=""),"",C14*D14*E14)</f>
        <v/>
      </c>
      <c r="G14" s="64" t="n">
        <v>0.2</v>
      </c>
      <c r="H14" s="36">
        <f>IF(F14="","",F14*(1+G14))</f>
        <v/>
      </c>
      <c r="I14" s="63" t="inlineStr">
        <is>
          <t>TRY</t>
        </is>
      </c>
      <c r="J14" s="38">
        <f>IFERROR(VLOOKUP(I14,'Kur Bilgisi'!$A$6:$C$9,3,FALSE),"")</f>
        <v/>
      </c>
      <c r="K14" s="36">
        <f>IF(OR(H14="",J14=""),"",H14*J14)</f>
        <v/>
      </c>
    </row>
    <row r="15" ht="20.25" customHeight="1" s="164">
      <c r="A15" s="62" t="n"/>
      <c r="B15" s="34">
        <f>IF(A15="","",IFERROR(_xlfn.XLOOKUP(A15,tblUrunler[Urun],tblUrunler[Bar],""),""))</f>
        <v/>
      </c>
      <c r="C15" s="34">
        <f>IF(A15="","",IFERROR(_xlfn.XLOOKUP(A15,tblUrunler[Urun],tblUrunler[Gaz],""),""))</f>
        <v/>
      </c>
      <c r="D15" s="63" t="n"/>
      <c r="E15" s="63" t="n"/>
      <c r="F15" s="36">
        <f>IF(OR(C15="",D15="",E15=""),"",C15*D15*E15)</f>
        <v/>
      </c>
      <c r="G15" s="64" t="n">
        <v>0.2</v>
      </c>
      <c r="H15" s="36">
        <f>IF(F15="","",F15*(1+G15))</f>
        <v/>
      </c>
      <c r="I15" s="63" t="inlineStr">
        <is>
          <t>TRY</t>
        </is>
      </c>
      <c r="J15" s="38">
        <f>IFERROR(VLOOKUP(I15,'Kur Bilgisi'!$A$6:$C$9,3,FALSE),"")</f>
        <v/>
      </c>
      <c r="K15" s="36">
        <f>IF(OR(H15="",J15=""),"",H15*J15)</f>
        <v/>
      </c>
    </row>
    <row r="16" ht="20.25" customHeight="1" s="164">
      <c r="A16" s="62" t="n"/>
      <c r="B16" s="34">
        <f>IF(A16="","",IFERROR(_xlfn.XLOOKUP(A16,tblUrunler[Urun],tblUrunler[Bar],""),""))</f>
        <v/>
      </c>
      <c r="C16" s="34">
        <f>IF(A16="","",IFERROR(_xlfn.XLOOKUP(A16,tblUrunler[Urun],tblUrunler[Gaz],""),""))</f>
        <v/>
      </c>
      <c r="D16" s="63" t="n"/>
      <c r="E16" s="63" t="n"/>
      <c r="F16" s="36">
        <f>IF(OR(C16="",D16="",E16=""),"",C16*D16*E16)</f>
        <v/>
      </c>
      <c r="G16" s="64" t="n">
        <v>0.2</v>
      </c>
      <c r="H16" s="36">
        <f>IF(F16="","",F16*(1+G16))</f>
        <v/>
      </c>
      <c r="I16" s="63" t="inlineStr">
        <is>
          <t>TRY</t>
        </is>
      </c>
      <c r="J16" s="38">
        <f>IFERROR(VLOOKUP(I16,'Kur Bilgisi'!$A$6:$C$9,3,FALSE),"")</f>
        <v/>
      </c>
      <c r="K16" s="36">
        <f>IF(OR(H16="",J16=""),"",H16*J16)</f>
        <v/>
      </c>
    </row>
    <row r="17" ht="20.25" customHeight="1" s="164">
      <c r="A17" s="62" t="n"/>
      <c r="B17" s="34">
        <f>IF(A17="","",IFERROR(_xlfn.XLOOKUP(A17,tblUrunler[Urun],tblUrunler[Bar],""),""))</f>
        <v/>
      </c>
      <c r="C17" s="34">
        <f>IF(A17="","",IFERROR(_xlfn.XLOOKUP(A17,tblUrunler[Urun],tblUrunler[Gaz],""),""))</f>
        <v/>
      </c>
      <c r="D17" s="63" t="n"/>
      <c r="E17" s="63" t="n"/>
      <c r="F17" s="36">
        <f>IF(OR(C17="",D17="",E17=""),"",C17*D17*E17)</f>
        <v/>
      </c>
      <c r="G17" s="64" t="n">
        <v>0.2</v>
      </c>
      <c r="H17" s="36">
        <f>IF(F17="","",F17*(1+G17))</f>
        <v/>
      </c>
      <c r="I17" s="63" t="inlineStr">
        <is>
          <t>TRY</t>
        </is>
      </c>
      <c r="J17" s="38">
        <f>IFERROR(VLOOKUP(I17,'Kur Bilgisi'!$A$6:$C$9,3,FALSE),"")</f>
        <v/>
      </c>
      <c r="K17" s="36">
        <f>IF(OR(H17="",J17=""),"",H17*J17)</f>
        <v/>
      </c>
    </row>
    <row r="18" ht="20.25" customHeight="1" s="164">
      <c r="A18" s="62" t="n"/>
      <c r="B18" s="34">
        <f>IF(A18="","",IFERROR(_xlfn.XLOOKUP(A18,tblUrunler[Urun],tblUrunler[Bar],""),""))</f>
        <v/>
      </c>
      <c r="C18" s="34">
        <f>IF(A18="","",IFERROR(_xlfn.XLOOKUP(A18,tblUrunler[Urun],tblUrunler[Gaz],""),""))</f>
        <v/>
      </c>
      <c r="D18" s="63" t="n"/>
      <c r="E18" s="63" t="n"/>
      <c r="F18" s="36">
        <f>IF(OR(C18="",D18="",E18=""),"",C18*D18*E18)</f>
        <v/>
      </c>
      <c r="G18" s="64" t="n">
        <v>0.2</v>
      </c>
      <c r="H18" s="36">
        <f>IF(F18="","",F18*(1+G18))</f>
        <v/>
      </c>
      <c r="I18" s="63" t="inlineStr">
        <is>
          <t>TRY</t>
        </is>
      </c>
      <c r="J18" s="38">
        <f>IFERROR(VLOOKUP(I18,'Kur Bilgisi'!$A$6:$C$9,3,FALSE),"")</f>
        <v/>
      </c>
      <c r="K18" s="36">
        <f>IF(OR(H18="",J18=""),"",H18*J18)</f>
        <v/>
      </c>
    </row>
    <row r="19" ht="20.25" customHeight="1" s="164">
      <c r="A19" s="62" t="n"/>
      <c r="B19" s="34">
        <f>IF(A19="","",IFERROR(_xlfn.XLOOKUP(A19,tblUrunler[Urun],tblUrunler[Bar],""),""))</f>
        <v/>
      </c>
      <c r="C19" s="34">
        <f>IF(A19="","",IFERROR(_xlfn.XLOOKUP(A19,tblUrunler[Urun],tblUrunler[Gaz],""),""))</f>
        <v/>
      </c>
      <c r="D19" s="63" t="n"/>
      <c r="E19" s="63" t="n"/>
      <c r="F19" s="36">
        <f>IF(OR(C19="",D19="",E19=""),"",C19*D19*E19)</f>
        <v/>
      </c>
      <c r="G19" s="64" t="n">
        <v>0.2</v>
      </c>
      <c r="H19" s="36">
        <f>IF(F19="","",F19*(1+G19))</f>
        <v/>
      </c>
      <c r="I19" s="63" t="inlineStr">
        <is>
          <t>TRY</t>
        </is>
      </c>
      <c r="J19" s="38">
        <f>IFERROR(VLOOKUP(I19,'Kur Bilgisi'!$A$6:$C$9,3,FALSE),"")</f>
        <v/>
      </c>
      <c r="K19" s="36">
        <f>IF(OR(H19="",J19=""),"",H19*J19)</f>
        <v/>
      </c>
    </row>
    <row r="20" ht="20.25" customHeight="1" s="164">
      <c r="A20" s="62" t="n"/>
      <c r="B20" s="34">
        <f>IF(A20="","",IFERROR(_xlfn.XLOOKUP(A20,tblUrunler[Urun],tblUrunler[Bar],""),""))</f>
        <v/>
      </c>
      <c r="C20" s="34">
        <f>IF(A20="","",IFERROR(_xlfn.XLOOKUP(A20,tblUrunler[Urun],tblUrunler[Gaz],""),""))</f>
        <v/>
      </c>
      <c r="D20" s="63" t="n"/>
      <c r="E20" s="63" t="n"/>
      <c r="F20" s="36">
        <f>IF(OR(C20="",D20="",E20=""),"",C20*D20*E20)</f>
        <v/>
      </c>
      <c r="G20" s="64" t="n">
        <v>0.2</v>
      </c>
      <c r="H20" s="36">
        <f>IF(F20="","",F20*(1+G20))</f>
        <v/>
      </c>
      <c r="I20" s="63" t="inlineStr">
        <is>
          <t>TRY</t>
        </is>
      </c>
      <c r="J20" s="38">
        <f>IFERROR(VLOOKUP(I20,'Kur Bilgisi'!$A$6:$C$9,3,FALSE),"")</f>
        <v/>
      </c>
      <c r="K20" s="36">
        <f>IF(OR(H20="",J20=""),"",H20*J20)</f>
        <v/>
      </c>
    </row>
    <row r="21" ht="20.25" customHeight="1" s="164">
      <c r="A21" s="62" t="n"/>
      <c r="B21" s="34">
        <f>IF(A21="","",IFERROR(_xlfn.XLOOKUP(A21,tblUrunler[Urun],tblUrunler[Bar],""),""))</f>
        <v/>
      </c>
      <c r="C21" s="34">
        <f>IF(A21="","",IFERROR(_xlfn.XLOOKUP(A21,tblUrunler[Urun],tblUrunler[Gaz],""),""))</f>
        <v/>
      </c>
      <c r="D21" s="63" t="n"/>
      <c r="E21" s="63" t="n"/>
      <c r="F21" s="36">
        <f>IF(OR(C21="",D21="",E21=""),"",C21*D21*E21)</f>
        <v/>
      </c>
      <c r="G21" s="64" t="n">
        <v>0.2</v>
      </c>
      <c r="H21" s="36">
        <f>IF(F21="","",F21*(1+G21))</f>
        <v/>
      </c>
      <c r="I21" s="63" t="inlineStr">
        <is>
          <t>TRY</t>
        </is>
      </c>
      <c r="J21" s="38">
        <f>IFERROR(VLOOKUP(I21,'Kur Bilgisi'!$A$6:$C$9,3,FALSE),"")</f>
        <v/>
      </c>
      <c r="K21" s="36">
        <f>IF(OR(H21="",J21=""),"",H21*J21)</f>
        <v/>
      </c>
    </row>
    <row r="22" ht="20.25" customHeight="1" s="164">
      <c r="A22" s="62" t="n"/>
      <c r="B22" s="34">
        <f>IF(A22="","",IFERROR(_xlfn.XLOOKUP(A22,tblUrunler[Urun],tblUrunler[Bar],""),""))</f>
        <v/>
      </c>
      <c r="C22" s="34">
        <f>IF(A22="","",IFERROR(_xlfn.XLOOKUP(A22,tblUrunler[Urun],tblUrunler[Gaz],""),""))</f>
        <v/>
      </c>
      <c r="D22" s="63" t="n"/>
      <c r="E22" s="63" t="n"/>
      <c r="F22" s="36">
        <f>IF(OR(C22="",D22="",E22=""),"",C22*D22*E22)</f>
        <v/>
      </c>
      <c r="G22" s="64" t="n">
        <v>0.2</v>
      </c>
      <c r="H22" s="36">
        <f>IF(F22="","",F22*(1+G22))</f>
        <v/>
      </c>
      <c r="I22" s="63" t="inlineStr">
        <is>
          <t>TRY</t>
        </is>
      </c>
      <c r="J22" s="38">
        <f>IFERROR(VLOOKUP(I22,'Kur Bilgisi'!$A$6:$C$9,3,FALSE),"")</f>
        <v/>
      </c>
      <c r="K22" s="36">
        <f>IF(OR(H22="",J22=""),"",H22*J22)</f>
        <v/>
      </c>
    </row>
    <row r="23" ht="20.25" customHeight="1" s="164">
      <c r="A23" s="62" t="n"/>
      <c r="B23" s="34">
        <f>IF(A23="","",IFERROR(_xlfn.XLOOKUP(A23,tblUrunler[Urun],tblUrunler[Bar],""),""))</f>
        <v/>
      </c>
      <c r="C23" s="34">
        <f>IF(A23="","",IFERROR(_xlfn.XLOOKUP(A23,tblUrunler[Urun],tblUrunler[Gaz],""),""))</f>
        <v/>
      </c>
      <c r="D23" s="63" t="n"/>
      <c r="E23" s="63" t="n"/>
      <c r="F23" s="36">
        <f>IF(OR(C23="",D23="",E23=""),"",C23*D23*E23)</f>
        <v/>
      </c>
      <c r="G23" s="64" t="n">
        <v>0.2</v>
      </c>
      <c r="H23" s="36">
        <f>IF(F23="","",F23*(1+G23))</f>
        <v/>
      </c>
      <c r="I23" s="63" t="inlineStr">
        <is>
          <t>TRY</t>
        </is>
      </c>
      <c r="J23" s="38">
        <f>IFERROR(VLOOKUP(I23,'Kur Bilgisi'!$A$6:$C$9,3,FALSE),"")</f>
        <v/>
      </c>
      <c r="K23" s="36">
        <f>IF(OR(H23="",J23=""),"",H23*J23)</f>
        <v/>
      </c>
    </row>
    <row r="24" ht="20.25" customHeight="1" s="164">
      <c r="A24" s="62" t="n"/>
      <c r="B24" s="34">
        <f>IF(A24="","",IFERROR(_xlfn.XLOOKUP(A24,tblUrunler[Urun],tblUrunler[Bar],""),""))</f>
        <v/>
      </c>
      <c r="C24" s="34">
        <f>IF(A24="","",IFERROR(_xlfn.XLOOKUP(A24,tblUrunler[Urun],tblUrunler[Gaz],""),""))</f>
        <v/>
      </c>
      <c r="D24" s="63" t="n"/>
      <c r="E24" s="63" t="n"/>
      <c r="F24" s="36">
        <f>IF(OR(C24="",D24="",E24=""),"",C24*D24*E24)</f>
        <v/>
      </c>
      <c r="G24" s="64" t="n">
        <v>0.2</v>
      </c>
      <c r="H24" s="36">
        <f>IF(F24="","",F24*(1+G24))</f>
        <v/>
      </c>
      <c r="I24" s="63" t="inlineStr">
        <is>
          <t>TRY</t>
        </is>
      </c>
      <c r="J24" s="38">
        <f>IFERROR(VLOOKUP(I24,'Kur Bilgisi'!$A$6:$C$9,3,FALSE),"")</f>
        <v/>
      </c>
      <c r="K24" s="36">
        <f>IF(OR(H24="",J24=""),"",H24*J24)</f>
        <v/>
      </c>
    </row>
    <row r="25" ht="20.25" customHeight="1" s="164">
      <c r="A25" s="62" t="n"/>
      <c r="B25" s="34">
        <f>IF(A25="","",IFERROR(_xlfn.XLOOKUP(A25,tblUrunler[Urun],tblUrunler[Bar],""),""))</f>
        <v/>
      </c>
      <c r="C25" s="34">
        <f>IF(A25="","",IFERROR(_xlfn.XLOOKUP(A25,tblUrunler[Urun],tblUrunler[Gaz],""),""))</f>
        <v/>
      </c>
      <c r="D25" s="63" t="n"/>
      <c r="E25" s="63" t="n"/>
      <c r="F25" s="36">
        <f>IF(OR(C25="",D25="",E25=""),"",C25*D25*E25)</f>
        <v/>
      </c>
      <c r="G25" s="64" t="n">
        <v>0.2</v>
      </c>
      <c r="H25" s="36">
        <f>IF(F25="","",F25*(1+G25))</f>
        <v/>
      </c>
      <c r="I25" s="63" t="inlineStr">
        <is>
          <t>TRY</t>
        </is>
      </c>
      <c r="J25" s="38">
        <f>IFERROR(VLOOKUP(I25,'Kur Bilgisi'!$A$6:$C$9,3,FALSE),"")</f>
        <v/>
      </c>
      <c r="K25" s="36">
        <f>IF(OR(H25="",J25=""),"",H25*J25)</f>
        <v/>
      </c>
    </row>
    <row r="26" ht="20.25" customHeight="1" s="164">
      <c r="A26" s="62" t="n"/>
      <c r="B26" s="34">
        <f>IF(A26="","",IFERROR(_xlfn.XLOOKUP(A26,tblUrunler[Urun],tblUrunler[Bar],""),""))</f>
        <v/>
      </c>
      <c r="C26" s="34">
        <f>IF(A26="","",IFERROR(_xlfn.XLOOKUP(A26,tblUrunler[Urun],tblUrunler[Gaz],""),""))</f>
        <v/>
      </c>
      <c r="D26" s="63" t="n"/>
      <c r="E26" s="63" t="n"/>
      <c r="F26" s="36">
        <f>IF(OR(C26="",D26="",E26=""),"",C26*D26*E26)</f>
        <v/>
      </c>
      <c r="G26" s="64" t="n">
        <v>0.2</v>
      </c>
      <c r="H26" s="36">
        <f>IF(F26="","",F26*(1+G26))</f>
        <v/>
      </c>
      <c r="I26" s="63" t="inlineStr">
        <is>
          <t>TRY</t>
        </is>
      </c>
      <c r="J26" s="38">
        <f>IFERROR(VLOOKUP(I26,'Kur Bilgisi'!$A$6:$C$9,3,FALSE),"")</f>
        <v/>
      </c>
      <c r="K26" s="36">
        <f>IF(OR(H26="",J26=""),"",H26*J26)</f>
        <v/>
      </c>
    </row>
    <row r="27" ht="20.25" customHeight="1" s="164">
      <c r="A27" s="62" t="n"/>
      <c r="B27" s="34">
        <f>IF(A27="","",IFERROR(_xlfn.XLOOKUP(A27,tblUrunler[Urun],tblUrunler[Bar],""),""))</f>
        <v/>
      </c>
      <c r="C27" s="34">
        <f>IF(A27="","",IFERROR(_xlfn.XLOOKUP(A27,tblUrunler[Urun],tblUrunler[Gaz],""),""))</f>
        <v/>
      </c>
      <c r="D27" s="63" t="n"/>
      <c r="E27" s="63" t="n"/>
      <c r="F27" s="36">
        <f>IF(OR(C27="",D27="",E27=""),"",C27*D27*E27)</f>
        <v/>
      </c>
      <c r="G27" s="64" t="n">
        <v>0.2</v>
      </c>
      <c r="H27" s="36">
        <f>IF(F27="","",F27*(1+G27))</f>
        <v/>
      </c>
      <c r="I27" s="63" t="inlineStr">
        <is>
          <t>TRY</t>
        </is>
      </c>
      <c r="J27" s="38">
        <f>IFERROR(VLOOKUP(I27,'Kur Bilgisi'!$A$6:$C$9,3,FALSE),"")</f>
        <v/>
      </c>
      <c r="K27" s="36">
        <f>IF(OR(H27="",J27=""),"",H27*J27)</f>
        <v/>
      </c>
    </row>
    <row r="28" ht="20.25" customHeight="1" s="164">
      <c r="A28" s="62" t="n"/>
      <c r="B28" s="34">
        <f>IF(A28="","",IFERROR(_xlfn.XLOOKUP(A28,tblUrunler[Urun],tblUrunler[Bar],""),""))</f>
        <v/>
      </c>
      <c r="C28" s="34">
        <f>IF(A28="","",IFERROR(_xlfn.XLOOKUP(A28,tblUrunler[Urun],tblUrunler[Gaz],""),""))</f>
        <v/>
      </c>
      <c r="D28" s="63" t="n"/>
      <c r="E28" s="63" t="n"/>
      <c r="F28" s="36">
        <f>IF(OR(C28="",D28="",E28=""),"",C28*D28*E28)</f>
        <v/>
      </c>
      <c r="G28" s="64" t="n">
        <v>0.2</v>
      </c>
      <c r="H28" s="36">
        <f>IF(F28="","",F28*(1+G28))</f>
        <v/>
      </c>
      <c r="I28" s="63" t="inlineStr">
        <is>
          <t>TRY</t>
        </is>
      </c>
      <c r="J28" s="38">
        <f>IFERROR(VLOOKUP(I28,'Kur Bilgisi'!$A$6:$C$9,3,FALSE),"")</f>
        <v/>
      </c>
      <c r="K28" s="36">
        <f>IF(OR(H28="",J28=""),"",H28*J28)</f>
        <v/>
      </c>
    </row>
    <row r="29" ht="20.25" customHeight="1" s="164">
      <c r="A29" s="62" t="n"/>
      <c r="B29" s="34">
        <f>IF(A29="","",IFERROR(_xlfn.XLOOKUP(A29,tblUrunler[Urun],tblUrunler[Bar],""),""))</f>
        <v/>
      </c>
      <c r="C29" s="34">
        <f>IF(A29="","",IFERROR(_xlfn.XLOOKUP(A29,tblUrunler[Urun],tblUrunler[Gaz],""),""))</f>
        <v/>
      </c>
      <c r="D29" s="63" t="n"/>
      <c r="E29" s="63" t="n"/>
      <c r="F29" s="36">
        <f>IF(OR(C29="",D29="",E29=""),"",C29*D29*E29)</f>
        <v/>
      </c>
      <c r="G29" s="64" t="n">
        <v>0.2</v>
      </c>
      <c r="H29" s="36">
        <f>IF(F29="","",F29*(1+G29))</f>
        <v/>
      </c>
      <c r="I29" s="63" t="inlineStr">
        <is>
          <t>TRY</t>
        </is>
      </c>
      <c r="J29" s="38">
        <f>IFERROR(VLOOKUP(I29,'Kur Bilgisi'!$A$6:$C$9,3,FALSE),"")</f>
        <v/>
      </c>
      <c r="K29" s="36">
        <f>IF(OR(H29="",J29=""),"",H29*J29)</f>
        <v/>
      </c>
    </row>
    <row r="30" ht="20.25" customHeight="1" s="164">
      <c r="A30" s="62" t="n"/>
      <c r="B30" s="34">
        <f>IF(A30="","",IFERROR(_xlfn.XLOOKUP(A30,tblUrunler[Urun],tblUrunler[Bar],""),""))</f>
        <v/>
      </c>
      <c r="C30" s="34">
        <f>IF(A30="","",IFERROR(_xlfn.XLOOKUP(A30,tblUrunler[Urun],tblUrunler[Gaz],""),""))</f>
        <v/>
      </c>
      <c r="D30" s="63" t="n"/>
      <c r="E30" s="63" t="n"/>
      <c r="F30" s="36">
        <f>IF(OR(C30="",D30="",E30=""),"",C30*D30*E30)</f>
        <v/>
      </c>
      <c r="G30" s="64" t="n">
        <v>0.2</v>
      </c>
      <c r="H30" s="36">
        <f>IF(F30="","",F30*(1+G30))</f>
        <v/>
      </c>
      <c r="I30" s="63" t="inlineStr">
        <is>
          <t>TRY</t>
        </is>
      </c>
      <c r="J30" s="38">
        <f>IFERROR(VLOOKUP(I30,'Kur Bilgisi'!$A$6:$C$9,3,FALSE),"")</f>
        <v/>
      </c>
      <c r="K30" s="36">
        <f>IF(OR(H30="",J30=""),"",H30*J30)</f>
        <v/>
      </c>
    </row>
    <row r="31" ht="21.75" customHeight="1" s="164">
      <c r="A31" s="141" t="n"/>
      <c r="G31" s="26" t="n"/>
      <c r="H31" s="143" t="inlineStr">
        <is>
          <t>Ara Toplam (TL)</t>
        </is>
      </c>
      <c r="I31" s="267" t="n"/>
      <c r="J31" s="268" t="n"/>
      <c r="K31" s="31">
        <f>SUMPRODUCT(F8:F30,J8:J30)</f>
        <v/>
      </c>
    </row>
    <row r="32" ht="21.75" customHeight="1" s="164">
      <c r="G32" s="26" t="n"/>
      <c r="H32" s="111" t="inlineStr">
        <is>
          <t>KDV (TL)</t>
        </is>
      </c>
      <c r="I32" s="269" t="n"/>
      <c r="J32" s="270" t="n"/>
      <c r="K32" s="29">
        <f>SUMPRODUCT(F8:F30,G8:G30,J8:J30)</f>
        <v/>
      </c>
    </row>
    <row r="33" ht="21.75" customHeight="1" s="164">
      <c r="G33" s="26" t="n"/>
      <c r="H33" s="138" t="inlineStr">
        <is>
          <t>GENEL TOPLAM (TL)</t>
        </is>
      </c>
      <c r="I33" s="271" t="n"/>
      <c r="J33" s="272" t="n"/>
      <c r="K33" s="30">
        <f>K31+K32</f>
        <v/>
      </c>
    </row>
    <row r="34" ht="24" customHeight="1" s="164">
      <c r="A34" s="137" t="inlineStr">
        <is>
          <t>NOTLAR</t>
        </is>
      </c>
      <c r="B34" s="269" t="n"/>
      <c r="C34" s="269" t="n"/>
      <c r="D34" s="269" t="n"/>
      <c r="E34" s="269" t="n"/>
      <c r="F34" s="269" t="n"/>
      <c r="G34" s="27" t="n"/>
      <c r="H34" s="125" t="inlineStr">
        <is>
          <t>KAŞE VE İMZA</t>
        </is>
      </c>
      <c r="I34" s="269" t="n"/>
      <c r="J34" s="269" t="n"/>
      <c r="K34" s="270" t="n"/>
    </row>
    <row r="35" ht="24" customHeight="1" s="164">
      <c r="A35" s="128" t="inlineStr">
        <is>
          <t>Teklife ilişkin açıklamalarınızı buraya yazınız.</t>
        </is>
      </c>
      <c r="B35" s="273" t="n"/>
      <c r="C35" s="273" t="n"/>
      <c r="D35" s="273" t="n"/>
      <c r="E35" s="273" t="n"/>
      <c r="F35" s="274" t="n"/>
      <c r="G35" s="28" t="n"/>
      <c r="H35" s="116" t="n"/>
      <c r="I35" s="271" t="n"/>
      <c r="J35" s="271" t="n"/>
      <c r="K35" s="272" t="n"/>
    </row>
    <row r="36" ht="24" customHeight="1" s="164">
      <c r="A36" s="275" t="n"/>
      <c r="B36" s="276" t="n"/>
      <c r="C36" s="276" t="n"/>
      <c r="D36" s="276" t="n"/>
      <c r="E36" s="276" t="n"/>
      <c r="F36" s="277" t="n"/>
      <c r="G36" s="28" t="n"/>
      <c r="H36" s="278" t="n"/>
      <c r="K36" s="279" t="n"/>
    </row>
    <row r="37" ht="24" customHeight="1" s="164">
      <c r="A37" s="275" t="n"/>
      <c r="B37" s="276" t="n"/>
      <c r="C37" s="276" t="n"/>
      <c r="D37" s="276" t="n"/>
      <c r="E37" s="276" t="n"/>
      <c r="F37" s="277" t="n"/>
      <c r="G37" s="28" t="n"/>
      <c r="H37" s="278" t="n"/>
      <c r="K37" s="279" t="n"/>
    </row>
    <row r="38" ht="24" customHeight="1" s="164">
      <c r="A38" s="275" t="n"/>
      <c r="B38" s="276" t="n"/>
      <c r="C38" s="276" t="n"/>
      <c r="D38" s="276" t="n"/>
      <c r="E38" s="276" t="n"/>
      <c r="F38" s="277" t="n"/>
      <c r="G38" s="28" t="n"/>
      <c r="H38" s="278" t="n"/>
      <c r="K38" s="279" t="n"/>
    </row>
    <row r="39" ht="24" customHeight="1" s="164">
      <c r="A39" s="280" t="n"/>
      <c r="B39" s="281" t="n"/>
      <c r="C39" s="281" t="n"/>
      <c r="D39" s="281" t="n"/>
      <c r="E39" s="281" t="n"/>
      <c r="F39" s="282" t="n"/>
      <c r="G39" s="28" t="n"/>
      <c r="H39" s="283" t="n"/>
      <c r="I39" s="267" t="n"/>
      <c r="J39" s="267" t="n"/>
      <c r="K39" s="268" t="n"/>
    </row>
    <row r="40" ht="20.25" customHeight="1" s="164">
      <c r="A40" s="114" t="inlineStr">
        <is>
          <t>Birim fiyatlar seçilen para birimindedir. TL tutarlar, Kur Bilgisi sayfasındaki İş Bankası döviz satış kuru üzerinden hesaplanır.</t>
        </is>
      </c>
    </row>
    <row r="41" ht="5.25" customHeight="1" s="164"/>
  </sheetData>
  <sheetProtection selectLockedCells="1" selectUnlockedCells="0" sheet="1" objects="1" insertRows="1" insertHyperlinks="1" autoFilter="0" scenarios="1" formatColumns="1" deleteColumns="1" insertColumns="1" pivotTables="1" deleteRows="1" formatCells="1" formatRows="1" sort="1"/>
  <mergeCells count="24">
    <mergeCell ref="D3:G3"/>
    <mergeCell ref="J5:K5"/>
    <mergeCell ref="B3:C3"/>
    <mergeCell ref="H4:I4"/>
    <mergeCell ref="D5:G5"/>
    <mergeCell ref="A6:K6"/>
    <mergeCell ref="H32:J32"/>
    <mergeCell ref="B1:K2"/>
    <mergeCell ref="H33:J33"/>
    <mergeCell ref="J4:K4"/>
    <mergeCell ref="H35:K39"/>
    <mergeCell ref="H34:K34"/>
    <mergeCell ref="A35:F39"/>
    <mergeCell ref="A34:F34"/>
    <mergeCell ref="A40:K40"/>
    <mergeCell ref="A1:A5"/>
    <mergeCell ref="H3:I3"/>
    <mergeCell ref="J3:K3"/>
    <mergeCell ref="A31:F33"/>
    <mergeCell ref="B5:C5"/>
    <mergeCell ref="H31:J31"/>
    <mergeCell ref="H5:I5"/>
    <mergeCell ref="B4:C4"/>
    <mergeCell ref="D4:G4"/>
  </mergeCells>
  <dataValidations count="6">
    <dataValidation sqref="I8:I30" showDropDown="0" showInputMessage="1" showErrorMessage="1" allowBlank="1" type="list">
      <formula1>"TRY,USD,EUR,GBP"</formula1>
    </dataValidation>
    <dataValidation sqref="A8:A30" showDropDown="0" showInputMessage="1" showErrorMessage="1" allowBlank="1" errorTitle="Geçersiz ürün" error="Lütfen listeden bir ürün seçin." promptTitle="Ürün seçimi" prompt="Açılır listeden ürün seçin." type="list">
      <formula1>UrunListesi</formula1>
    </dataValidation>
    <dataValidation sqref="D8:D30" showDropDown="0" showInputMessage="1" showErrorMessage="1" allowBlank="1" errorTitle="Geçersiz miktar" error="Miktar 1 veya daha büyük tam sayı olmalıdır." type="whole" operator="greaterThanOrEqual">
      <formula1>1</formula1>
    </dataValidation>
    <dataValidation sqref="E8:E30" showDropDown="0" showInputMessage="1" showErrorMessage="1" allowBlank="1" errorTitle="Geçersiz fiyat" error="Birim fiyat 0 veya daha büyük olmalıdır." type="decimal" operator="greaterThanOrEqual">
      <formula1>0</formula1>
    </dataValidation>
    <dataValidation sqref="G8:G30" showDropDown="0" showInputMessage="1" showErrorMessage="1" allowBlank="1" errorTitle="Geçersiz KDV" error="KDV oranı %0 ile %100 arasında olmalıdır." type="decimal">
      <formula1>0</formula1>
      <formula2>1</formula2>
    </dataValidation>
    <dataValidation sqref="D3:G3" showDropDown="0" showInputMessage="1" showErrorMessage="1" allowBlank="1" type="list">
      <formula1>MusteriListesi</formula1>
    </dataValidation>
  </dataValidations>
  <printOptions horizontalCentered="1" gridLinesSet="0"/>
  <pageMargins left="0.2362204724409445" right="0.2362204724409445" top="0.2362204724409445" bottom="0.2362204724409445" header="0" footer="0"/>
  <pageSetup orientation="portrait" paperSize="9" scale="70" firstPageNumber="0" horizontalDpi="0" verticalDpi="0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ayfa2">
    <outlinePr summaryBelow="1" summaryRight="1"/>
    <pageSetUpPr/>
  </sheetPr>
  <dimension ref="A1:G1000"/>
  <sheetViews>
    <sheetView workbookViewId="0">
      <selection activeCell="Q6" sqref="Q6"/>
    </sheetView>
  </sheetViews>
  <sheetFormatPr baseColWidth="8" defaultRowHeight="15"/>
  <cols>
    <col width="30.7109375" bestFit="1" customWidth="1" style="164" min="1" max="1"/>
    <col width="6.140625" bestFit="1" customWidth="1" style="164" min="2" max="2"/>
    <col width="6.5703125" bestFit="1" customWidth="1" style="164" min="3" max="3"/>
    <col width="20.85546875" bestFit="1" customWidth="1" style="164" min="4" max="4"/>
    <col width="12.85546875" bestFit="1" customWidth="1" style="164" min="5" max="5"/>
    <col width="7" bestFit="1" customWidth="1" style="164" min="6" max="6"/>
    <col width="7.5703125" bestFit="1" customWidth="1" style="164" min="7" max="7"/>
  </cols>
  <sheetData>
    <row r="1">
      <c r="A1" t="inlineStr">
        <is>
          <t>Urun</t>
        </is>
      </c>
      <c r="B1" t="inlineStr">
        <is>
          <t>Bar</t>
        </is>
      </c>
      <c r="C1" t="inlineStr">
        <is>
          <t>Gaz</t>
        </is>
      </c>
      <c r="D1" t="inlineStr">
        <is>
          <t>Standart Birim Fiyat</t>
        </is>
      </c>
      <c r="E1" t="inlineStr">
        <is>
          <t>Para Birimi</t>
        </is>
      </c>
      <c r="F1" t="inlineStr">
        <is>
          <t>KDV</t>
        </is>
      </c>
      <c r="G1" t="inlineStr">
        <is>
          <t>Aktif</t>
        </is>
      </c>
    </row>
    <row r="2">
      <c r="A2" t="inlineStr">
        <is>
          <t>Y.S. HELYUM GAZI</t>
        </is>
      </c>
      <c r="B2" t="n">
        <v>200</v>
      </c>
      <c r="C2" t="n">
        <v>9.199999999999999</v>
      </c>
      <c r="D2" s="55" t="n">
        <v>150</v>
      </c>
      <c r="E2" t="inlineStr">
        <is>
          <t>USD</t>
        </is>
      </c>
      <c r="F2" s="51" t="n">
        <v>0.2</v>
      </c>
      <c r="G2" t="b">
        <v>1</v>
      </c>
    </row>
    <row r="3">
      <c r="A3" t="inlineStr">
        <is>
          <t>SAF HELYUM GAZI</t>
        </is>
      </c>
      <c r="B3" t="n">
        <v>200</v>
      </c>
      <c r="C3" t="n">
        <v>9.199999999999999</v>
      </c>
      <c r="D3" s="55" t="n"/>
      <c r="E3" t="inlineStr">
        <is>
          <t>TRY</t>
        </is>
      </c>
      <c r="F3" s="51" t="n">
        <v>0.2</v>
      </c>
      <c r="G3" t="b">
        <v>1</v>
      </c>
    </row>
    <row r="4">
      <c r="A4" t="inlineStr">
        <is>
          <t>Y.S. ARGON GAZI</t>
        </is>
      </c>
      <c r="B4" t="n">
        <v>230</v>
      </c>
      <c r="C4" t="n">
        <v>12.06</v>
      </c>
      <c r="D4" s="55" t="n">
        <v>1000</v>
      </c>
      <c r="E4" t="inlineStr">
        <is>
          <t>TRY</t>
        </is>
      </c>
      <c r="F4" s="51" t="n">
        <v>0.2</v>
      </c>
      <c r="G4" t="b">
        <v>1</v>
      </c>
    </row>
    <row r="5">
      <c r="A5" t="inlineStr">
        <is>
          <t>Y.S. AZOT GAZI</t>
        </is>
      </c>
      <c r="B5" t="n">
        <v>230</v>
      </c>
      <c r="C5" t="n">
        <v>10.5</v>
      </c>
      <c r="D5" s="55" t="n">
        <v>100</v>
      </c>
      <c r="E5" t="inlineStr">
        <is>
          <t>TRY</t>
        </is>
      </c>
      <c r="F5" s="51" t="n">
        <v>0.2</v>
      </c>
      <c r="G5" t="b">
        <v>1</v>
      </c>
    </row>
    <row r="6">
      <c r="A6" t="inlineStr">
        <is>
          <t>SAF HIDROJEN GAZI</t>
        </is>
      </c>
      <c r="B6" t="n">
        <v>200</v>
      </c>
      <c r="C6" t="n">
        <v>8.9</v>
      </c>
      <c r="D6" s="55" t="n"/>
      <c r="E6" t="inlineStr">
        <is>
          <t>TRY</t>
        </is>
      </c>
      <c r="F6" s="51" t="n">
        <v>0.2</v>
      </c>
      <c r="G6" t="b">
        <v>1</v>
      </c>
    </row>
    <row r="7">
      <c r="A7" t="inlineStr">
        <is>
          <t>Y.S. HIDROJEN GAZI</t>
        </is>
      </c>
      <c r="B7" t="n">
        <v>200</v>
      </c>
      <c r="C7" t="n">
        <v>8.9</v>
      </c>
      <c r="D7" s="55" t="n">
        <v>20</v>
      </c>
      <c r="E7" t="inlineStr">
        <is>
          <t>EUR</t>
        </is>
      </c>
      <c r="F7" s="51" t="n">
        <v>0.2</v>
      </c>
      <c r="G7" t="b">
        <v>1</v>
      </c>
    </row>
    <row r="8">
      <c r="A8" t="inlineStr">
        <is>
          <t>Y.S. OKSIJEN GAZI</t>
        </is>
      </c>
      <c r="B8" t="n">
        <v>200</v>
      </c>
      <c r="C8" t="n">
        <v>10.6</v>
      </c>
      <c r="D8" s="55" t="n"/>
      <c r="E8" t="inlineStr">
        <is>
          <t>TRY</t>
        </is>
      </c>
      <c r="F8" s="51" t="n">
        <v>0.2</v>
      </c>
      <c r="G8" t="b">
        <v>1</v>
      </c>
    </row>
    <row r="9">
      <c r="A9" t="inlineStr">
        <is>
          <t>Y.S. KURUHAVA GAZI (4.8 GRADE)</t>
        </is>
      </c>
      <c r="B9" t="n">
        <v>200</v>
      </c>
      <c r="C9" t="n">
        <v>9.800000000000001</v>
      </c>
      <c r="D9" s="55" t="n"/>
      <c r="E9" t="inlineStr">
        <is>
          <t>TRY</t>
        </is>
      </c>
      <c r="F9" s="51" t="n">
        <v>0.2</v>
      </c>
      <c r="G9" t="b">
        <v>1</v>
      </c>
    </row>
    <row r="10">
      <c r="A10" t="inlineStr">
        <is>
          <t>Y.S. KURUHAVA GAZI (5.0 GRADE)</t>
        </is>
      </c>
      <c r="B10" t="n">
        <v>200</v>
      </c>
      <c r="C10" t="n">
        <v>9.800000000000001</v>
      </c>
      <c r="D10" s="55" t="n"/>
      <c r="E10" t="inlineStr">
        <is>
          <t>TRY</t>
        </is>
      </c>
      <c r="F10" s="51" t="n">
        <v>0.2</v>
      </c>
      <c r="G10" t="b">
        <v>1</v>
      </c>
    </row>
    <row r="11">
      <c r="A11" t="inlineStr">
        <is>
          <t>P10 GAZI</t>
        </is>
      </c>
      <c r="B11" t="n">
        <v>200</v>
      </c>
      <c r="C11" t="n">
        <v>10.7</v>
      </c>
      <c r="D11" s="55" t="n"/>
      <c r="E11" t="inlineStr">
        <is>
          <t>TRY</t>
        </is>
      </c>
      <c r="F11" s="51" t="n">
        <v>0.2</v>
      </c>
      <c r="G11" t="b">
        <v>1</v>
      </c>
    </row>
    <row r="12">
      <c r="D12" s="55" t="n"/>
      <c r="F12" s="51" t="n"/>
    </row>
    <row r="13">
      <c r="D13" s="55" t="n"/>
      <c r="F13" s="51" t="n"/>
    </row>
    <row r="14">
      <c r="D14" s="55" t="n"/>
      <c r="F14" s="51" t="n"/>
    </row>
    <row r="15">
      <c r="D15" s="55" t="n"/>
      <c r="F15" s="51" t="n"/>
    </row>
    <row r="16">
      <c r="D16" s="55" t="n"/>
      <c r="F16" s="51" t="n"/>
    </row>
    <row r="17">
      <c r="D17" s="55" t="n"/>
      <c r="F17" s="51" t="n"/>
    </row>
    <row r="18">
      <c r="D18" s="55" t="n"/>
      <c r="F18" s="51" t="n"/>
    </row>
    <row r="19">
      <c r="D19" s="55" t="n"/>
      <c r="F19" s="51" t="n"/>
    </row>
    <row r="20">
      <c r="D20" s="55" t="n"/>
      <c r="F20" s="51" t="n"/>
    </row>
    <row r="21">
      <c r="D21" s="55" t="n"/>
      <c r="F21" s="51" t="n"/>
    </row>
    <row r="22">
      <c r="D22" s="55" t="n"/>
      <c r="F22" s="51" t="n"/>
    </row>
    <row r="23">
      <c r="D23" s="55" t="n"/>
      <c r="F23" s="51" t="n"/>
    </row>
    <row r="24">
      <c r="D24" s="55" t="n"/>
      <c r="F24" s="51" t="n"/>
    </row>
    <row r="25">
      <c r="D25" s="55" t="n"/>
      <c r="F25" s="51" t="n"/>
    </row>
    <row r="26">
      <c r="D26" s="55" t="n"/>
      <c r="F26" s="51" t="n"/>
    </row>
    <row r="27">
      <c r="D27" s="55" t="n"/>
      <c r="F27" s="51" t="n"/>
    </row>
    <row r="28">
      <c r="D28" s="55" t="n"/>
      <c r="F28" s="51" t="n"/>
    </row>
    <row r="29">
      <c r="D29" s="55" t="n"/>
      <c r="F29" s="51" t="n"/>
    </row>
    <row r="30">
      <c r="D30" s="55" t="n"/>
      <c r="F30" s="51" t="n"/>
    </row>
    <row r="31">
      <c r="D31" s="55" t="n"/>
      <c r="F31" s="51" t="n"/>
    </row>
    <row r="32">
      <c r="D32" s="55" t="n"/>
      <c r="F32" s="51" t="n"/>
    </row>
    <row r="33">
      <c r="D33" s="55" t="n"/>
      <c r="F33" s="51" t="n"/>
    </row>
    <row r="34">
      <c r="D34" s="55" t="n"/>
      <c r="F34" s="51" t="n"/>
    </row>
    <row r="35">
      <c r="D35" s="55" t="n"/>
      <c r="F35" s="51" t="n"/>
    </row>
    <row r="36">
      <c r="D36" s="55" t="n"/>
      <c r="F36" s="51" t="n"/>
    </row>
    <row r="37">
      <c r="D37" s="55" t="n"/>
      <c r="F37" s="51" t="n"/>
    </row>
    <row r="38">
      <c r="D38" s="55" t="n"/>
      <c r="F38" s="51" t="n"/>
    </row>
    <row r="39">
      <c r="D39" s="55" t="n"/>
      <c r="F39" s="51" t="n"/>
    </row>
    <row r="40">
      <c r="D40" s="55" t="n"/>
      <c r="F40" s="51" t="n"/>
    </row>
    <row r="41">
      <c r="D41" s="55" t="n"/>
      <c r="F41" s="51" t="n"/>
    </row>
    <row r="42">
      <c r="D42" s="55" t="n"/>
      <c r="F42" s="51" t="n"/>
    </row>
    <row r="43">
      <c r="D43" s="55" t="n"/>
      <c r="F43" s="51" t="n"/>
    </row>
    <row r="44">
      <c r="D44" s="55" t="n"/>
      <c r="F44" s="51" t="n"/>
    </row>
    <row r="45">
      <c r="D45" s="55" t="n"/>
      <c r="F45" s="51" t="n"/>
    </row>
    <row r="46">
      <c r="D46" s="55" t="n"/>
      <c r="F46" s="51" t="n"/>
    </row>
    <row r="47">
      <c r="D47" s="55" t="n"/>
      <c r="F47" s="51" t="n"/>
    </row>
    <row r="48">
      <c r="D48" s="55" t="n"/>
      <c r="F48" s="51" t="n"/>
    </row>
    <row r="49">
      <c r="D49" s="55" t="n"/>
      <c r="F49" s="51" t="n"/>
    </row>
    <row r="50">
      <c r="D50" s="55" t="n"/>
      <c r="F50" s="51" t="n"/>
    </row>
    <row r="51">
      <c r="D51" s="55" t="n"/>
      <c r="F51" s="51" t="n"/>
    </row>
    <row r="52">
      <c r="D52" s="55" t="n"/>
      <c r="F52" s="51" t="n"/>
    </row>
    <row r="53">
      <c r="D53" s="55" t="n"/>
      <c r="F53" s="51" t="n"/>
    </row>
    <row r="54">
      <c r="D54" s="55" t="n"/>
      <c r="F54" s="51" t="n"/>
    </row>
    <row r="55">
      <c r="D55" s="55" t="n"/>
      <c r="F55" s="51" t="n"/>
    </row>
    <row r="56">
      <c r="D56" s="55" t="n"/>
      <c r="F56" s="51" t="n"/>
    </row>
    <row r="57">
      <c r="D57" s="55" t="n"/>
      <c r="F57" s="51" t="n"/>
    </row>
    <row r="58">
      <c r="D58" s="55" t="n"/>
      <c r="F58" s="51" t="n"/>
    </row>
    <row r="59">
      <c r="D59" s="55" t="n"/>
      <c r="F59" s="51" t="n"/>
    </row>
    <row r="60">
      <c r="D60" s="55" t="n"/>
      <c r="F60" s="51" t="n"/>
    </row>
    <row r="61">
      <c r="D61" s="55" t="n"/>
      <c r="F61" s="51" t="n"/>
    </row>
    <row r="62">
      <c r="D62" s="55" t="n"/>
      <c r="F62" s="51" t="n"/>
    </row>
    <row r="63">
      <c r="D63" s="55" t="n"/>
      <c r="F63" s="51" t="n"/>
    </row>
    <row r="64">
      <c r="D64" s="55" t="n"/>
      <c r="F64" s="51" t="n"/>
    </row>
    <row r="65">
      <c r="D65" s="55" t="n"/>
      <c r="F65" s="51" t="n"/>
    </row>
    <row r="66">
      <c r="D66" s="55" t="n"/>
      <c r="F66" s="51" t="n"/>
    </row>
    <row r="67">
      <c r="D67" s="55" t="n"/>
      <c r="F67" s="51" t="n"/>
    </row>
    <row r="68">
      <c r="D68" s="55" t="n"/>
      <c r="F68" s="51" t="n"/>
    </row>
    <row r="69">
      <c r="D69" s="55" t="n"/>
      <c r="F69" s="51" t="n"/>
    </row>
    <row r="70">
      <c r="D70" s="55" t="n"/>
      <c r="F70" s="51" t="n"/>
    </row>
    <row r="71">
      <c r="D71" s="55" t="n"/>
      <c r="F71" s="51" t="n"/>
    </row>
    <row r="72">
      <c r="D72" s="55" t="n"/>
      <c r="F72" s="51" t="n"/>
    </row>
    <row r="73">
      <c r="D73" s="55" t="n"/>
      <c r="F73" s="51" t="n"/>
    </row>
    <row r="74">
      <c r="D74" s="55" t="n"/>
      <c r="F74" s="51" t="n"/>
    </row>
    <row r="75">
      <c r="D75" s="55" t="n"/>
      <c r="F75" s="51" t="n"/>
    </row>
    <row r="76">
      <c r="D76" s="55" t="n"/>
      <c r="F76" s="51" t="n"/>
    </row>
    <row r="77">
      <c r="D77" s="55" t="n"/>
      <c r="F77" s="51" t="n"/>
    </row>
    <row r="78">
      <c r="D78" s="55" t="n"/>
      <c r="F78" s="51" t="n"/>
    </row>
    <row r="79">
      <c r="D79" s="55" t="n"/>
      <c r="F79" s="51" t="n"/>
    </row>
    <row r="80">
      <c r="D80" s="55" t="n"/>
      <c r="F80" s="51" t="n"/>
    </row>
    <row r="81">
      <c r="D81" s="55" t="n"/>
      <c r="F81" s="51" t="n"/>
    </row>
    <row r="82">
      <c r="D82" s="55" t="n"/>
      <c r="F82" s="51" t="n"/>
    </row>
    <row r="83">
      <c r="D83" s="55" t="n"/>
      <c r="F83" s="51" t="n"/>
    </row>
    <row r="84">
      <c r="D84" s="55" t="n"/>
      <c r="F84" s="51" t="n"/>
    </row>
    <row r="85">
      <c r="D85" s="55" t="n"/>
      <c r="F85" s="51" t="n"/>
    </row>
    <row r="86">
      <c r="D86" s="55" t="n"/>
      <c r="F86" s="51" t="n"/>
    </row>
    <row r="87">
      <c r="D87" s="55" t="n"/>
      <c r="F87" s="51" t="n"/>
    </row>
    <row r="88">
      <c r="D88" s="55" t="n"/>
      <c r="F88" s="51" t="n"/>
    </row>
    <row r="89">
      <c r="D89" s="55" t="n"/>
      <c r="F89" s="51" t="n"/>
    </row>
    <row r="90">
      <c r="D90" s="55" t="n"/>
      <c r="F90" s="51" t="n"/>
    </row>
    <row r="91">
      <c r="D91" s="55" t="n"/>
      <c r="F91" s="51" t="n"/>
    </row>
    <row r="92">
      <c r="D92" s="55" t="n"/>
      <c r="F92" s="51" t="n"/>
    </row>
    <row r="93">
      <c r="D93" s="55" t="n"/>
      <c r="F93" s="51" t="n"/>
    </row>
    <row r="94">
      <c r="D94" s="55" t="n"/>
      <c r="F94" s="51" t="n"/>
    </row>
    <row r="95">
      <c r="D95" s="55" t="n"/>
      <c r="F95" s="51" t="n"/>
    </row>
    <row r="96">
      <c r="D96" s="55" t="n"/>
      <c r="F96" s="51" t="n"/>
    </row>
    <row r="97">
      <c r="D97" s="55" t="n"/>
      <c r="F97" s="51" t="n"/>
    </row>
    <row r="98">
      <c r="D98" s="55" t="n"/>
      <c r="F98" s="51" t="n"/>
    </row>
    <row r="99">
      <c r="D99" s="55" t="n"/>
      <c r="F99" s="51" t="n"/>
    </row>
    <row r="100">
      <c r="D100" s="55" t="n"/>
      <c r="F100" s="51" t="n"/>
    </row>
    <row r="101">
      <c r="D101" s="55" t="n"/>
      <c r="F101" s="51" t="n"/>
    </row>
    <row r="102">
      <c r="D102" s="55" t="n"/>
      <c r="F102" s="51" t="n"/>
    </row>
    <row r="103">
      <c r="D103" s="55" t="n"/>
      <c r="F103" s="51" t="n"/>
    </row>
    <row r="104">
      <c r="D104" s="55" t="n"/>
      <c r="F104" s="51" t="n"/>
    </row>
    <row r="105">
      <c r="D105" s="55" t="n"/>
      <c r="F105" s="51" t="n"/>
    </row>
    <row r="106">
      <c r="D106" s="55" t="n"/>
      <c r="F106" s="51" t="n"/>
    </row>
    <row r="107">
      <c r="D107" s="55" t="n"/>
      <c r="F107" s="51" t="n"/>
    </row>
    <row r="108">
      <c r="D108" s="55" t="n"/>
      <c r="F108" s="51" t="n"/>
    </row>
    <row r="109">
      <c r="D109" s="55" t="n"/>
      <c r="F109" s="51" t="n"/>
    </row>
    <row r="110">
      <c r="D110" s="55" t="n"/>
      <c r="F110" s="51" t="n"/>
    </row>
    <row r="111">
      <c r="D111" s="55" t="n"/>
      <c r="F111" s="51" t="n"/>
    </row>
    <row r="112">
      <c r="D112" s="55" t="n"/>
      <c r="F112" s="51" t="n"/>
    </row>
    <row r="113">
      <c r="D113" s="55" t="n"/>
      <c r="F113" s="51" t="n"/>
    </row>
    <row r="114">
      <c r="D114" s="55" t="n"/>
      <c r="F114" s="51" t="n"/>
    </row>
    <row r="115">
      <c r="D115" s="55" t="n"/>
      <c r="F115" s="51" t="n"/>
    </row>
    <row r="116">
      <c r="D116" s="55" t="n"/>
      <c r="F116" s="51" t="n"/>
    </row>
    <row r="117">
      <c r="D117" s="55" t="n"/>
      <c r="F117" s="51" t="n"/>
    </row>
    <row r="118">
      <c r="D118" s="55" t="n"/>
      <c r="F118" s="51" t="n"/>
    </row>
    <row r="119">
      <c r="D119" s="55" t="n"/>
      <c r="F119" s="51" t="n"/>
    </row>
    <row r="120">
      <c r="D120" s="55" t="n"/>
      <c r="F120" s="51" t="n"/>
    </row>
    <row r="121">
      <c r="D121" s="55" t="n"/>
      <c r="F121" s="51" t="n"/>
    </row>
    <row r="122">
      <c r="D122" s="55" t="n"/>
      <c r="F122" s="51" t="n"/>
    </row>
    <row r="123">
      <c r="D123" s="55" t="n"/>
      <c r="F123" s="51" t="n"/>
    </row>
    <row r="124">
      <c r="D124" s="55" t="n"/>
      <c r="F124" s="51" t="n"/>
    </row>
    <row r="125">
      <c r="D125" s="55" t="n"/>
      <c r="F125" s="51" t="n"/>
    </row>
    <row r="126">
      <c r="D126" s="55" t="n"/>
      <c r="F126" s="51" t="n"/>
    </row>
    <row r="127">
      <c r="D127" s="55" t="n"/>
      <c r="F127" s="51" t="n"/>
    </row>
    <row r="128">
      <c r="D128" s="55" t="n"/>
      <c r="F128" s="51" t="n"/>
    </row>
    <row r="129">
      <c r="D129" s="55" t="n"/>
      <c r="F129" s="51" t="n"/>
    </row>
    <row r="130">
      <c r="D130" s="55" t="n"/>
      <c r="F130" s="51" t="n"/>
    </row>
    <row r="131">
      <c r="D131" s="55" t="n"/>
      <c r="F131" s="51" t="n"/>
    </row>
    <row r="132">
      <c r="D132" s="55" t="n"/>
      <c r="F132" s="51" t="n"/>
    </row>
    <row r="133">
      <c r="D133" s="55" t="n"/>
      <c r="F133" s="51" t="n"/>
    </row>
    <row r="134">
      <c r="D134" s="55" t="n"/>
      <c r="F134" s="51" t="n"/>
    </row>
    <row r="135">
      <c r="D135" s="55" t="n"/>
      <c r="F135" s="51" t="n"/>
    </row>
    <row r="136">
      <c r="D136" s="55" t="n"/>
      <c r="F136" s="51" t="n"/>
    </row>
    <row r="137">
      <c r="D137" s="55" t="n"/>
      <c r="F137" s="51" t="n"/>
    </row>
    <row r="138">
      <c r="D138" s="55" t="n"/>
      <c r="F138" s="51" t="n"/>
    </row>
    <row r="139">
      <c r="D139" s="55" t="n"/>
      <c r="F139" s="51" t="n"/>
    </row>
    <row r="140">
      <c r="D140" s="55" t="n"/>
      <c r="F140" s="51" t="n"/>
    </row>
    <row r="141">
      <c r="D141" s="55" t="n"/>
      <c r="F141" s="51" t="n"/>
    </row>
    <row r="142">
      <c r="D142" s="55" t="n"/>
      <c r="F142" s="51" t="n"/>
    </row>
    <row r="143">
      <c r="D143" s="55" t="n"/>
      <c r="F143" s="51" t="n"/>
    </row>
    <row r="144">
      <c r="D144" s="55" t="n"/>
      <c r="F144" s="51" t="n"/>
    </row>
    <row r="145">
      <c r="D145" s="55" t="n"/>
      <c r="F145" s="51" t="n"/>
    </row>
    <row r="146">
      <c r="D146" s="55" t="n"/>
      <c r="F146" s="51" t="n"/>
    </row>
    <row r="147">
      <c r="D147" s="55" t="n"/>
      <c r="F147" s="51" t="n"/>
    </row>
    <row r="148">
      <c r="D148" s="55" t="n"/>
      <c r="F148" s="51" t="n"/>
    </row>
    <row r="149">
      <c r="D149" s="55" t="n"/>
      <c r="F149" s="51" t="n"/>
    </row>
    <row r="150">
      <c r="D150" s="55" t="n"/>
      <c r="F150" s="51" t="n"/>
    </row>
    <row r="151">
      <c r="D151" s="55" t="n"/>
      <c r="F151" s="51" t="n"/>
    </row>
    <row r="152">
      <c r="D152" s="55" t="n"/>
      <c r="F152" s="51" t="n"/>
    </row>
    <row r="153">
      <c r="D153" s="55" t="n"/>
      <c r="F153" s="51" t="n"/>
    </row>
    <row r="154">
      <c r="D154" s="55" t="n"/>
      <c r="F154" s="51" t="n"/>
    </row>
    <row r="155">
      <c r="D155" s="55" t="n"/>
      <c r="F155" s="51" t="n"/>
    </row>
    <row r="156">
      <c r="D156" s="55" t="n"/>
      <c r="F156" s="51" t="n"/>
    </row>
    <row r="157">
      <c r="D157" s="55" t="n"/>
      <c r="F157" s="51" t="n"/>
    </row>
    <row r="158">
      <c r="D158" s="55" t="n"/>
      <c r="F158" s="51" t="n"/>
    </row>
    <row r="159">
      <c r="D159" s="55" t="n"/>
      <c r="F159" s="51" t="n"/>
    </row>
    <row r="160">
      <c r="D160" s="55" t="n"/>
      <c r="F160" s="51" t="n"/>
    </row>
    <row r="161">
      <c r="D161" s="55" t="n"/>
      <c r="F161" s="51" t="n"/>
    </row>
    <row r="162">
      <c r="D162" s="55" t="n"/>
      <c r="F162" s="51" t="n"/>
    </row>
    <row r="163">
      <c r="D163" s="55" t="n"/>
      <c r="F163" s="51" t="n"/>
    </row>
    <row r="164">
      <c r="D164" s="55" t="n"/>
      <c r="F164" s="51" t="n"/>
    </row>
    <row r="165">
      <c r="D165" s="55" t="n"/>
      <c r="F165" s="51" t="n"/>
    </row>
    <row r="166">
      <c r="D166" s="55" t="n"/>
      <c r="F166" s="51" t="n"/>
    </row>
    <row r="167">
      <c r="D167" s="55" t="n"/>
      <c r="F167" s="51" t="n"/>
    </row>
    <row r="168">
      <c r="D168" s="55" t="n"/>
      <c r="F168" s="51" t="n"/>
    </row>
    <row r="169">
      <c r="D169" s="55" t="n"/>
      <c r="F169" s="51" t="n"/>
    </row>
    <row r="170">
      <c r="D170" s="55" t="n"/>
      <c r="F170" s="51" t="n"/>
    </row>
    <row r="171">
      <c r="D171" s="55" t="n"/>
      <c r="F171" s="51" t="n"/>
    </row>
    <row r="172">
      <c r="D172" s="55" t="n"/>
      <c r="F172" s="51" t="n"/>
    </row>
    <row r="173">
      <c r="D173" s="55" t="n"/>
      <c r="F173" s="51" t="n"/>
    </row>
    <row r="174">
      <c r="D174" s="55" t="n"/>
      <c r="F174" s="51" t="n"/>
    </row>
    <row r="175">
      <c r="D175" s="55" t="n"/>
      <c r="F175" s="51" t="n"/>
    </row>
    <row r="176">
      <c r="D176" s="55" t="n"/>
      <c r="F176" s="51" t="n"/>
    </row>
    <row r="177">
      <c r="D177" s="55" t="n"/>
      <c r="F177" s="51" t="n"/>
    </row>
    <row r="178">
      <c r="D178" s="55" t="n"/>
      <c r="F178" s="51" t="n"/>
    </row>
    <row r="179">
      <c r="D179" s="55" t="n"/>
      <c r="F179" s="51" t="n"/>
    </row>
    <row r="180">
      <c r="D180" s="55" t="n"/>
      <c r="F180" s="51" t="n"/>
    </row>
    <row r="181">
      <c r="D181" s="55" t="n"/>
      <c r="F181" s="51" t="n"/>
    </row>
    <row r="182">
      <c r="D182" s="55" t="n"/>
      <c r="F182" s="51" t="n"/>
    </row>
    <row r="183">
      <c r="D183" s="55" t="n"/>
      <c r="F183" s="51" t="n"/>
    </row>
    <row r="184">
      <c r="D184" s="55" t="n"/>
      <c r="F184" s="51" t="n"/>
    </row>
    <row r="185">
      <c r="D185" s="55" t="n"/>
      <c r="F185" s="51" t="n"/>
    </row>
    <row r="186">
      <c r="D186" s="55" t="n"/>
      <c r="F186" s="51" t="n"/>
    </row>
    <row r="187">
      <c r="D187" s="55" t="n"/>
      <c r="F187" s="51" t="n"/>
    </row>
    <row r="188">
      <c r="D188" s="55" t="n"/>
      <c r="F188" s="51" t="n"/>
    </row>
    <row r="189">
      <c r="D189" s="55" t="n"/>
      <c r="F189" s="51" t="n"/>
    </row>
    <row r="190">
      <c r="D190" s="55" t="n"/>
      <c r="F190" s="51" t="n"/>
    </row>
    <row r="191">
      <c r="D191" s="55" t="n"/>
      <c r="F191" s="51" t="n"/>
    </row>
    <row r="192">
      <c r="D192" s="55" t="n"/>
      <c r="F192" s="51" t="n"/>
    </row>
    <row r="193">
      <c r="D193" s="55" t="n"/>
      <c r="F193" s="51" t="n"/>
    </row>
    <row r="194">
      <c r="D194" s="55" t="n"/>
      <c r="F194" s="51" t="n"/>
    </row>
    <row r="195">
      <c r="D195" s="55" t="n"/>
      <c r="F195" s="51" t="n"/>
    </row>
    <row r="196">
      <c r="D196" s="55" t="n"/>
      <c r="F196" s="51" t="n"/>
    </row>
    <row r="197">
      <c r="D197" s="55" t="n"/>
      <c r="F197" s="51" t="n"/>
    </row>
    <row r="198">
      <c r="D198" s="55" t="n"/>
      <c r="F198" s="51" t="n"/>
    </row>
    <row r="199">
      <c r="D199" s="55" t="n"/>
      <c r="F199" s="51" t="n"/>
    </row>
    <row r="200">
      <c r="D200" s="55" t="n"/>
      <c r="F200" s="51" t="n"/>
    </row>
    <row r="201">
      <c r="D201" s="55" t="n"/>
      <c r="F201" s="51" t="n"/>
    </row>
    <row r="202">
      <c r="D202" s="55" t="n"/>
      <c r="F202" s="51" t="n"/>
    </row>
    <row r="203">
      <c r="D203" s="55" t="n"/>
      <c r="F203" s="51" t="n"/>
    </row>
    <row r="204">
      <c r="D204" s="55" t="n"/>
      <c r="F204" s="51" t="n"/>
    </row>
    <row r="205">
      <c r="D205" s="55" t="n"/>
      <c r="F205" s="51" t="n"/>
    </row>
    <row r="206">
      <c r="D206" s="55" t="n"/>
      <c r="F206" s="51" t="n"/>
    </row>
    <row r="207">
      <c r="D207" s="55" t="n"/>
      <c r="F207" s="51" t="n"/>
    </row>
    <row r="208">
      <c r="D208" s="55" t="n"/>
      <c r="F208" s="51" t="n"/>
    </row>
    <row r="209">
      <c r="D209" s="55" t="n"/>
      <c r="F209" s="51" t="n"/>
    </row>
    <row r="210">
      <c r="D210" s="55" t="n"/>
      <c r="F210" s="51" t="n"/>
    </row>
    <row r="211">
      <c r="D211" s="55" t="n"/>
      <c r="F211" s="51" t="n"/>
    </row>
    <row r="212">
      <c r="D212" s="55" t="n"/>
      <c r="F212" s="51" t="n"/>
    </row>
    <row r="213">
      <c r="D213" s="55" t="n"/>
      <c r="F213" s="51" t="n"/>
    </row>
    <row r="214">
      <c r="D214" s="55" t="n"/>
      <c r="F214" s="51" t="n"/>
    </row>
    <row r="215">
      <c r="D215" s="55" t="n"/>
      <c r="F215" s="51" t="n"/>
    </row>
    <row r="216">
      <c r="D216" s="55" t="n"/>
      <c r="F216" s="51" t="n"/>
    </row>
    <row r="217">
      <c r="D217" s="55" t="n"/>
      <c r="F217" s="51" t="n"/>
    </row>
    <row r="218">
      <c r="D218" s="55" t="n"/>
      <c r="F218" s="51" t="n"/>
    </row>
    <row r="219">
      <c r="D219" s="55" t="n"/>
      <c r="F219" s="51" t="n"/>
    </row>
    <row r="220">
      <c r="D220" s="55" t="n"/>
      <c r="F220" s="51" t="n"/>
    </row>
    <row r="221">
      <c r="D221" s="55" t="n"/>
      <c r="F221" s="51" t="n"/>
    </row>
    <row r="222">
      <c r="D222" s="55" t="n"/>
      <c r="F222" s="51" t="n"/>
    </row>
    <row r="223">
      <c r="D223" s="55" t="n"/>
      <c r="F223" s="51" t="n"/>
    </row>
    <row r="224">
      <c r="D224" s="55" t="n"/>
      <c r="F224" s="51" t="n"/>
    </row>
    <row r="225">
      <c r="D225" s="55" t="n"/>
      <c r="F225" s="51" t="n"/>
    </row>
    <row r="226">
      <c r="D226" s="55" t="n"/>
      <c r="F226" s="51" t="n"/>
    </row>
    <row r="227">
      <c r="D227" s="55" t="n"/>
      <c r="F227" s="51" t="n"/>
    </row>
    <row r="228">
      <c r="D228" s="55" t="n"/>
      <c r="F228" s="51" t="n"/>
    </row>
    <row r="229">
      <c r="D229" s="55" t="n"/>
      <c r="F229" s="51" t="n"/>
    </row>
    <row r="230">
      <c r="D230" s="55" t="n"/>
      <c r="F230" s="51" t="n"/>
    </row>
    <row r="231">
      <c r="D231" s="55" t="n"/>
      <c r="F231" s="51" t="n"/>
    </row>
    <row r="232">
      <c r="D232" s="55" t="n"/>
      <c r="F232" s="51" t="n"/>
    </row>
    <row r="233">
      <c r="D233" s="55" t="n"/>
      <c r="F233" s="51" t="n"/>
    </row>
    <row r="234">
      <c r="D234" s="55" t="n"/>
      <c r="F234" s="51" t="n"/>
    </row>
    <row r="235">
      <c r="D235" s="55" t="n"/>
      <c r="F235" s="51" t="n"/>
    </row>
    <row r="236">
      <c r="D236" s="55" t="n"/>
      <c r="F236" s="51" t="n"/>
    </row>
    <row r="237">
      <c r="D237" s="55" t="n"/>
      <c r="F237" s="51" t="n"/>
    </row>
    <row r="238">
      <c r="D238" s="55" t="n"/>
      <c r="F238" s="51" t="n"/>
    </row>
    <row r="239">
      <c r="D239" s="55" t="n"/>
      <c r="F239" s="51" t="n"/>
    </row>
    <row r="240">
      <c r="D240" s="55" t="n"/>
      <c r="F240" s="51" t="n"/>
    </row>
    <row r="241">
      <c r="D241" s="55" t="n"/>
      <c r="F241" s="51" t="n"/>
    </row>
    <row r="242">
      <c r="D242" s="55" t="n"/>
      <c r="F242" s="51" t="n"/>
    </row>
    <row r="243">
      <c r="D243" s="55" t="n"/>
      <c r="F243" s="51" t="n"/>
    </row>
    <row r="244">
      <c r="D244" s="55" t="n"/>
      <c r="F244" s="51" t="n"/>
    </row>
    <row r="245">
      <c r="D245" s="55" t="n"/>
      <c r="F245" s="51" t="n"/>
    </row>
    <row r="246">
      <c r="D246" s="55" t="n"/>
      <c r="F246" s="51" t="n"/>
    </row>
    <row r="247">
      <c r="D247" s="55" t="n"/>
      <c r="F247" s="51" t="n"/>
    </row>
    <row r="248">
      <c r="D248" s="55" t="n"/>
      <c r="F248" s="51" t="n"/>
    </row>
    <row r="249">
      <c r="D249" s="55" t="n"/>
      <c r="F249" s="51" t="n"/>
    </row>
    <row r="250">
      <c r="D250" s="55" t="n"/>
      <c r="F250" s="51" t="n"/>
    </row>
    <row r="251">
      <c r="D251" s="55" t="n"/>
      <c r="F251" s="51" t="n"/>
    </row>
    <row r="252">
      <c r="D252" s="55" t="n"/>
      <c r="F252" s="51" t="n"/>
    </row>
    <row r="253">
      <c r="D253" s="55" t="n"/>
      <c r="F253" s="51" t="n"/>
    </row>
    <row r="254">
      <c r="D254" s="55" t="n"/>
      <c r="F254" s="51" t="n"/>
    </row>
    <row r="255">
      <c r="D255" s="55" t="n"/>
      <c r="F255" s="51" t="n"/>
    </row>
    <row r="256">
      <c r="D256" s="55" t="n"/>
      <c r="F256" s="51" t="n"/>
    </row>
    <row r="257">
      <c r="D257" s="55" t="n"/>
      <c r="F257" s="51" t="n"/>
    </row>
    <row r="258">
      <c r="D258" s="55" t="n"/>
      <c r="F258" s="51" t="n"/>
    </row>
    <row r="259">
      <c r="D259" s="55" t="n"/>
      <c r="F259" s="51" t="n"/>
    </row>
    <row r="260">
      <c r="D260" s="55" t="n"/>
      <c r="F260" s="51" t="n"/>
    </row>
    <row r="261">
      <c r="D261" s="55" t="n"/>
      <c r="F261" s="51" t="n"/>
    </row>
    <row r="262">
      <c r="D262" s="55" t="n"/>
      <c r="F262" s="51" t="n"/>
    </row>
    <row r="263">
      <c r="D263" s="55" t="n"/>
      <c r="F263" s="51" t="n"/>
    </row>
    <row r="264">
      <c r="D264" s="55" t="n"/>
      <c r="F264" s="51" t="n"/>
    </row>
    <row r="265">
      <c r="D265" s="55" t="n"/>
      <c r="F265" s="51" t="n"/>
    </row>
    <row r="266">
      <c r="D266" s="55" t="n"/>
      <c r="F266" s="51" t="n"/>
    </row>
    <row r="267">
      <c r="D267" s="55" t="n"/>
      <c r="F267" s="51" t="n"/>
    </row>
    <row r="268">
      <c r="D268" s="55" t="n"/>
      <c r="F268" s="51" t="n"/>
    </row>
    <row r="269">
      <c r="D269" s="55" t="n"/>
      <c r="F269" s="51" t="n"/>
    </row>
    <row r="270">
      <c r="D270" s="55" t="n"/>
      <c r="F270" s="51" t="n"/>
    </row>
    <row r="271">
      <c r="D271" s="55" t="n"/>
      <c r="F271" s="51" t="n"/>
    </row>
    <row r="272">
      <c r="D272" s="55" t="n"/>
      <c r="F272" s="51" t="n"/>
    </row>
    <row r="273">
      <c r="D273" s="55" t="n"/>
      <c r="F273" s="51" t="n"/>
    </row>
    <row r="274">
      <c r="D274" s="55" t="n"/>
      <c r="F274" s="51" t="n"/>
    </row>
    <row r="275">
      <c r="D275" s="55" t="n"/>
      <c r="F275" s="51" t="n"/>
    </row>
    <row r="276">
      <c r="D276" s="55" t="n"/>
      <c r="F276" s="51" t="n"/>
    </row>
    <row r="277">
      <c r="D277" s="55" t="n"/>
      <c r="F277" s="51" t="n"/>
    </row>
    <row r="278">
      <c r="D278" s="55" t="n"/>
      <c r="F278" s="51" t="n"/>
    </row>
    <row r="279">
      <c r="D279" s="55" t="n"/>
      <c r="F279" s="51" t="n"/>
    </row>
    <row r="280">
      <c r="D280" s="55" t="n"/>
      <c r="F280" s="51" t="n"/>
    </row>
    <row r="281">
      <c r="D281" s="55" t="n"/>
      <c r="F281" s="51" t="n"/>
    </row>
    <row r="282">
      <c r="D282" s="55" t="n"/>
      <c r="F282" s="51" t="n"/>
    </row>
    <row r="283">
      <c r="D283" s="55" t="n"/>
      <c r="F283" s="51" t="n"/>
    </row>
    <row r="284">
      <c r="D284" s="55" t="n"/>
      <c r="F284" s="51" t="n"/>
    </row>
    <row r="285">
      <c r="D285" s="55" t="n"/>
      <c r="F285" s="51" t="n"/>
    </row>
    <row r="286">
      <c r="D286" s="55" t="n"/>
      <c r="F286" s="51" t="n"/>
    </row>
    <row r="287">
      <c r="D287" s="55" t="n"/>
      <c r="F287" s="51" t="n"/>
    </row>
    <row r="288">
      <c r="D288" s="55" t="n"/>
      <c r="F288" s="51" t="n"/>
    </row>
    <row r="289">
      <c r="D289" s="55" t="n"/>
      <c r="F289" s="51" t="n"/>
    </row>
    <row r="290">
      <c r="D290" s="55" t="n"/>
      <c r="F290" s="51" t="n"/>
    </row>
    <row r="291">
      <c r="D291" s="55" t="n"/>
      <c r="F291" s="51" t="n"/>
    </row>
    <row r="292">
      <c r="D292" s="55" t="n"/>
      <c r="F292" s="51" t="n"/>
    </row>
    <row r="293">
      <c r="D293" s="55" t="n"/>
      <c r="F293" s="51" t="n"/>
    </row>
    <row r="294">
      <c r="D294" s="55" t="n"/>
      <c r="F294" s="51" t="n"/>
    </row>
    <row r="295">
      <c r="D295" s="55" t="n"/>
      <c r="F295" s="51" t="n"/>
    </row>
    <row r="296">
      <c r="D296" s="55" t="n"/>
      <c r="F296" s="51" t="n"/>
    </row>
    <row r="297">
      <c r="D297" s="55" t="n"/>
      <c r="F297" s="51" t="n"/>
    </row>
    <row r="298">
      <c r="D298" s="55" t="n"/>
      <c r="F298" s="51" t="n"/>
    </row>
    <row r="299">
      <c r="D299" s="55" t="n"/>
      <c r="F299" s="51" t="n"/>
    </row>
    <row r="300">
      <c r="D300" s="55" t="n"/>
      <c r="F300" s="51" t="n"/>
    </row>
    <row r="301">
      <c r="D301" s="55" t="n"/>
      <c r="F301" s="51" t="n"/>
    </row>
    <row r="302">
      <c r="D302" s="55" t="n"/>
      <c r="F302" s="51" t="n"/>
    </row>
    <row r="303">
      <c r="D303" s="55" t="n"/>
      <c r="F303" s="51" t="n"/>
    </row>
    <row r="304">
      <c r="D304" s="55" t="n"/>
      <c r="F304" s="51" t="n"/>
    </row>
    <row r="305">
      <c r="D305" s="55" t="n"/>
      <c r="F305" s="51" t="n"/>
    </row>
    <row r="306">
      <c r="D306" s="55" t="n"/>
      <c r="F306" s="51" t="n"/>
    </row>
    <row r="307">
      <c r="D307" s="55" t="n"/>
      <c r="F307" s="51" t="n"/>
    </row>
    <row r="308">
      <c r="D308" s="55" t="n"/>
      <c r="F308" s="51" t="n"/>
    </row>
    <row r="309">
      <c r="D309" s="55" t="n"/>
      <c r="F309" s="51" t="n"/>
    </row>
    <row r="310">
      <c r="D310" s="55" t="n"/>
      <c r="F310" s="51" t="n"/>
    </row>
    <row r="311">
      <c r="D311" s="55" t="n"/>
      <c r="F311" s="51" t="n"/>
    </row>
    <row r="312">
      <c r="D312" s="55" t="n"/>
      <c r="F312" s="51" t="n"/>
    </row>
    <row r="313">
      <c r="D313" s="55" t="n"/>
      <c r="F313" s="51" t="n"/>
    </row>
    <row r="314">
      <c r="D314" s="55" t="n"/>
      <c r="F314" s="51" t="n"/>
    </row>
    <row r="315">
      <c r="D315" s="55" t="n"/>
      <c r="F315" s="51" t="n"/>
    </row>
    <row r="316">
      <c r="D316" s="55" t="n"/>
      <c r="F316" s="51" t="n"/>
    </row>
    <row r="317">
      <c r="D317" s="55" t="n"/>
      <c r="F317" s="51" t="n"/>
    </row>
    <row r="318">
      <c r="D318" s="55" t="n"/>
      <c r="F318" s="51" t="n"/>
    </row>
    <row r="319">
      <c r="D319" s="55" t="n"/>
      <c r="F319" s="51" t="n"/>
    </row>
    <row r="320">
      <c r="D320" s="55" t="n"/>
      <c r="F320" s="51" t="n"/>
    </row>
    <row r="321">
      <c r="D321" s="55" t="n"/>
      <c r="F321" s="51" t="n"/>
    </row>
    <row r="322">
      <c r="D322" s="55" t="n"/>
      <c r="F322" s="51" t="n"/>
    </row>
    <row r="323">
      <c r="D323" s="55" t="n"/>
      <c r="F323" s="51" t="n"/>
    </row>
    <row r="324">
      <c r="D324" s="55" t="n"/>
      <c r="F324" s="51" t="n"/>
    </row>
    <row r="325">
      <c r="D325" s="55" t="n"/>
      <c r="F325" s="51" t="n"/>
    </row>
    <row r="326">
      <c r="D326" s="55" t="n"/>
      <c r="F326" s="51" t="n"/>
    </row>
    <row r="327">
      <c r="D327" s="55" t="n"/>
      <c r="F327" s="51" t="n"/>
    </row>
    <row r="328">
      <c r="D328" s="55" t="n"/>
      <c r="F328" s="51" t="n"/>
    </row>
    <row r="329">
      <c r="D329" s="55" t="n"/>
      <c r="F329" s="51" t="n"/>
    </row>
    <row r="330">
      <c r="D330" s="55" t="n"/>
      <c r="F330" s="51" t="n"/>
    </row>
    <row r="331">
      <c r="D331" s="55" t="n"/>
      <c r="F331" s="51" t="n"/>
    </row>
    <row r="332">
      <c r="D332" s="55" t="n"/>
      <c r="F332" s="51" t="n"/>
    </row>
    <row r="333">
      <c r="D333" s="55" t="n"/>
      <c r="F333" s="51" t="n"/>
    </row>
    <row r="334">
      <c r="D334" s="55" t="n"/>
      <c r="F334" s="51" t="n"/>
    </row>
    <row r="335">
      <c r="D335" s="55" t="n"/>
      <c r="F335" s="51" t="n"/>
    </row>
    <row r="336">
      <c r="D336" s="55" t="n"/>
      <c r="F336" s="51" t="n"/>
    </row>
    <row r="337">
      <c r="D337" s="55" t="n"/>
      <c r="F337" s="51" t="n"/>
    </row>
    <row r="338">
      <c r="D338" s="55" t="n"/>
      <c r="F338" s="51" t="n"/>
    </row>
    <row r="339">
      <c r="D339" s="55" t="n"/>
      <c r="F339" s="51" t="n"/>
    </row>
    <row r="340">
      <c r="D340" s="55" t="n"/>
      <c r="F340" s="51" t="n"/>
    </row>
    <row r="341">
      <c r="D341" s="55" t="n"/>
      <c r="F341" s="51" t="n"/>
    </row>
    <row r="342">
      <c r="D342" s="55" t="n"/>
      <c r="F342" s="51" t="n"/>
    </row>
    <row r="343">
      <c r="D343" s="55" t="n"/>
      <c r="F343" s="51" t="n"/>
    </row>
    <row r="344">
      <c r="D344" s="55" t="n"/>
      <c r="F344" s="51" t="n"/>
    </row>
    <row r="345">
      <c r="D345" s="55" t="n"/>
      <c r="F345" s="51" t="n"/>
    </row>
    <row r="346">
      <c r="D346" s="55" t="n"/>
      <c r="F346" s="51" t="n"/>
    </row>
    <row r="347">
      <c r="D347" s="55" t="n"/>
      <c r="F347" s="51" t="n"/>
    </row>
    <row r="348">
      <c r="D348" s="55" t="n"/>
      <c r="F348" s="51" t="n"/>
    </row>
    <row r="349">
      <c r="D349" s="55" t="n"/>
      <c r="F349" s="51" t="n"/>
    </row>
    <row r="350">
      <c r="D350" s="55" t="n"/>
      <c r="F350" s="51" t="n"/>
    </row>
    <row r="351">
      <c r="D351" s="55" t="n"/>
      <c r="F351" s="51" t="n"/>
    </row>
    <row r="352">
      <c r="D352" s="55" t="n"/>
      <c r="F352" s="51" t="n"/>
    </row>
    <row r="353">
      <c r="D353" s="55" t="n"/>
      <c r="F353" s="51" t="n"/>
    </row>
    <row r="354">
      <c r="D354" s="55" t="n"/>
      <c r="F354" s="51" t="n"/>
    </row>
    <row r="355">
      <c r="D355" s="55" t="n"/>
      <c r="F355" s="51" t="n"/>
    </row>
    <row r="356">
      <c r="D356" s="55" t="n"/>
      <c r="F356" s="51" t="n"/>
    </row>
    <row r="357">
      <c r="D357" s="55" t="n"/>
      <c r="F357" s="51" t="n"/>
    </row>
    <row r="358">
      <c r="D358" s="55" t="n"/>
      <c r="F358" s="51" t="n"/>
    </row>
    <row r="359">
      <c r="D359" s="55" t="n"/>
      <c r="F359" s="51" t="n"/>
    </row>
    <row r="360">
      <c r="D360" s="55" t="n"/>
      <c r="F360" s="51" t="n"/>
    </row>
    <row r="361">
      <c r="D361" s="55" t="n"/>
      <c r="F361" s="51" t="n"/>
    </row>
    <row r="362">
      <c r="D362" s="55" t="n"/>
      <c r="F362" s="51" t="n"/>
    </row>
    <row r="363">
      <c r="D363" s="55" t="n"/>
      <c r="F363" s="51" t="n"/>
    </row>
    <row r="364">
      <c r="D364" s="55" t="n"/>
      <c r="F364" s="51" t="n"/>
    </row>
    <row r="365">
      <c r="D365" s="55" t="n"/>
      <c r="F365" s="51" t="n"/>
    </row>
    <row r="366">
      <c r="D366" s="55" t="n"/>
      <c r="F366" s="51" t="n"/>
    </row>
    <row r="367">
      <c r="D367" s="55" t="n"/>
      <c r="F367" s="51" t="n"/>
    </row>
    <row r="368">
      <c r="D368" s="55" t="n"/>
      <c r="F368" s="51" t="n"/>
    </row>
    <row r="369">
      <c r="D369" s="55" t="n"/>
      <c r="F369" s="51" t="n"/>
    </row>
    <row r="370">
      <c r="D370" s="55" t="n"/>
      <c r="F370" s="51" t="n"/>
    </row>
    <row r="371">
      <c r="D371" s="55" t="n"/>
      <c r="F371" s="51" t="n"/>
    </row>
    <row r="372">
      <c r="D372" s="55" t="n"/>
      <c r="F372" s="51" t="n"/>
    </row>
    <row r="373">
      <c r="D373" s="55" t="n"/>
      <c r="F373" s="51" t="n"/>
    </row>
    <row r="374">
      <c r="D374" s="55" t="n"/>
      <c r="F374" s="51" t="n"/>
    </row>
    <row r="375">
      <c r="D375" s="55" t="n"/>
      <c r="F375" s="51" t="n"/>
    </row>
    <row r="376">
      <c r="D376" s="55" t="n"/>
      <c r="F376" s="51" t="n"/>
    </row>
    <row r="377">
      <c r="D377" s="55" t="n"/>
      <c r="F377" s="51" t="n"/>
    </row>
    <row r="378">
      <c r="D378" s="55" t="n"/>
      <c r="F378" s="51" t="n"/>
    </row>
    <row r="379">
      <c r="D379" s="55" t="n"/>
      <c r="F379" s="51" t="n"/>
    </row>
    <row r="380">
      <c r="D380" s="55" t="n"/>
      <c r="F380" s="51" t="n"/>
    </row>
    <row r="381">
      <c r="D381" s="55" t="n"/>
      <c r="F381" s="51" t="n"/>
    </row>
    <row r="382">
      <c r="D382" s="55" t="n"/>
      <c r="F382" s="51" t="n"/>
    </row>
    <row r="383">
      <c r="D383" s="55" t="n"/>
      <c r="F383" s="51" t="n"/>
    </row>
    <row r="384">
      <c r="D384" s="55" t="n"/>
      <c r="F384" s="51" t="n"/>
    </row>
    <row r="385">
      <c r="D385" s="55" t="n"/>
      <c r="F385" s="51" t="n"/>
    </row>
    <row r="386">
      <c r="D386" s="55" t="n"/>
      <c r="F386" s="51" t="n"/>
    </row>
    <row r="387">
      <c r="D387" s="55" t="n"/>
      <c r="F387" s="51" t="n"/>
    </row>
    <row r="388">
      <c r="D388" s="55" t="n"/>
      <c r="F388" s="51" t="n"/>
    </row>
    <row r="389">
      <c r="D389" s="55" t="n"/>
      <c r="F389" s="51" t="n"/>
    </row>
    <row r="390">
      <c r="D390" s="55" t="n"/>
      <c r="F390" s="51" t="n"/>
    </row>
    <row r="391">
      <c r="D391" s="55" t="n"/>
      <c r="F391" s="51" t="n"/>
    </row>
    <row r="392">
      <c r="D392" s="55" t="n"/>
      <c r="F392" s="51" t="n"/>
    </row>
    <row r="393">
      <c r="D393" s="55" t="n"/>
      <c r="F393" s="51" t="n"/>
    </row>
    <row r="394">
      <c r="D394" s="55" t="n"/>
      <c r="F394" s="51" t="n"/>
    </row>
    <row r="395">
      <c r="D395" s="55" t="n"/>
      <c r="F395" s="51" t="n"/>
    </row>
    <row r="396">
      <c r="D396" s="55" t="n"/>
      <c r="F396" s="51" t="n"/>
    </row>
    <row r="397">
      <c r="D397" s="55" t="n"/>
      <c r="F397" s="51" t="n"/>
    </row>
    <row r="398">
      <c r="D398" s="55" t="n"/>
      <c r="F398" s="51" t="n"/>
    </row>
    <row r="399">
      <c r="D399" s="55" t="n"/>
      <c r="F399" s="51" t="n"/>
    </row>
    <row r="400">
      <c r="D400" s="55" t="n"/>
      <c r="F400" s="51" t="n"/>
    </row>
    <row r="401">
      <c r="D401" s="55" t="n"/>
      <c r="F401" s="51" t="n"/>
    </row>
    <row r="402">
      <c r="D402" s="55" t="n"/>
      <c r="F402" s="51" t="n"/>
    </row>
    <row r="403">
      <c r="D403" s="55" t="n"/>
      <c r="F403" s="51" t="n"/>
    </row>
    <row r="404">
      <c r="D404" s="55" t="n"/>
      <c r="F404" s="51" t="n"/>
    </row>
    <row r="405">
      <c r="D405" s="55" t="n"/>
      <c r="F405" s="51" t="n"/>
    </row>
    <row r="406">
      <c r="D406" s="55" t="n"/>
      <c r="F406" s="51" t="n"/>
    </row>
    <row r="407">
      <c r="D407" s="55" t="n"/>
      <c r="F407" s="51" t="n"/>
    </row>
    <row r="408">
      <c r="D408" s="55" t="n"/>
      <c r="F408" s="51" t="n"/>
    </row>
    <row r="409">
      <c r="D409" s="55" t="n"/>
      <c r="F409" s="51" t="n"/>
    </row>
    <row r="410">
      <c r="D410" s="55" t="n"/>
      <c r="F410" s="51" t="n"/>
    </row>
    <row r="411">
      <c r="D411" s="55" t="n"/>
      <c r="F411" s="51" t="n"/>
    </row>
    <row r="412">
      <c r="D412" s="55" t="n"/>
      <c r="F412" s="51" t="n"/>
    </row>
    <row r="413">
      <c r="D413" s="55" t="n"/>
      <c r="F413" s="51" t="n"/>
    </row>
    <row r="414">
      <c r="D414" s="55" t="n"/>
      <c r="F414" s="51" t="n"/>
    </row>
    <row r="415">
      <c r="D415" s="55" t="n"/>
      <c r="F415" s="51" t="n"/>
    </row>
    <row r="416">
      <c r="D416" s="55" t="n"/>
      <c r="F416" s="51" t="n"/>
    </row>
    <row r="417">
      <c r="D417" s="55" t="n"/>
      <c r="F417" s="51" t="n"/>
    </row>
    <row r="418">
      <c r="D418" s="55" t="n"/>
      <c r="F418" s="51" t="n"/>
    </row>
    <row r="419">
      <c r="D419" s="55" t="n"/>
      <c r="F419" s="51" t="n"/>
    </row>
    <row r="420">
      <c r="D420" s="55" t="n"/>
      <c r="F420" s="51" t="n"/>
    </row>
    <row r="421">
      <c r="D421" s="55" t="n"/>
      <c r="F421" s="51" t="n"/>
    </row>
    <row r="422">
      <c r="D422" s="55" t="n"/>
      <c r="F422" s="51" t="n"/>
    </row>
    <row r="423">
      <c r="D423" s="55" t="n"/>
      <c r="F423" s="51" t="n"/>
    </row>
    <row r="424">
      <c r="D424" s="55" t="n"/>
      <c r="F424" s="51" t="n"/>
    </row>
    <row r="425">
      <c r="D425" s="55" t="n"/>
      <c r="F425" s="51" t="n"/>
    </row>
    <row r="426">
      <c r="D426" s="55" t="n"/>
      <c r="F426" s="51" t="n"/>
    </row>
    <row r="427">
      <c r="D427" s="55" t="n"/>
      <c r="F427" s="51" t="n"/>
    </row>
    <row r="428">
      <c r="D428" s="55" t="n"/>
      <c r="F428" s="51" t="n"/>
    </row>
    <row r="429">
      <c r="D429" s="55" t="n"/>
      <c r="F429" s="51" t="n"/>
    </row>
    <row r="430">
      <c r="D430" s="55" t="n"/>
      <c r="F430" s="51" t="n"/>
    </row>
    <row r="431">
      <c r="D431" s="55" t="n"/>
      <c r="F431" s="51" t="n"/>
    </row>
    <row r="432">
      <c r="D432" s="55" t="n"/>
      <c r="F432" s="51" t="n"/>
    </row>
    <row r="433">
      <c r="D433" s="55" t="n"/>
      <c r="F433" s="51" t="n"/>
    </row>
    <row r="434">
      <c r="D434" s="55" t="n"/>
      <c r="F434" s="51" t="n"/>
    </row>
    <row r="435">
      <c r="D435" s="55" t="n"/>
      <c r="F435" s="51" t="n"/>
    </row>
    <row r="436">
      <c r="D436" s="55" t="n"/>
      <c r="F436" s="51" t="n"/>
    </row>
    <row r="437">
      <c r="D437" s="55" t="n"/>
      <c r="F437" s="51" t="n"/>
    </row>
    <row r="438">
      <c r="D438" s="55" t="n"/>
      <c r="F438" s="51" t="n"/>
    </row>
    <row r="439">
      <c r="D439" s="55" t="n"/>
      <c r="F439" s="51" t="n"/>
    </row>
    <row r="440">
      <c r="D440" s="55" t="n"/>
      <c r="F440" s="51" t="n"/>
    </row>
    <row r="441">
      <c r="D441" s="55" t="n"/>
      <c r="F441" s="51" t="n"/>
    </row>
    <row r="442">
      <c r="D442" s="55" t="n"/>
      <c r="F442" s="51" t="n"/>
    </row>
    <row r="443">
      <c r="D443" s="55" t="n"/>
      <c r="F443" s="51" t="n"/>
    </row>
    <row r="444">
      <c r="D444" s="55" t="n"/>
      <c r="F444" s="51" t="n"/>
    </row>
    <row r="445">
      <c r="D445" s="55" t="n"/>
      <c r="F445" s="51" t="n"/>
    </row>
    <row r="446">
      <c r="D446" s="55" t="n"/>
      <c r="F446" s="51" t="n"/>
    </row>
    <row r="447">
      <c r="D447" s="55" t="n"/>
      <c r="F447" s="51" t="n"/>
    </row>
    <row r="448">
      <c r="D448" s="55" t="n"/>
      <c r="F448" s="51" t="n"/>
    </row>
    <row r="449">
      <c r="D449" s="55" t="n"/>
      <c r="F449" s="51" t="n"/>
    </row>
    <row r="450">
      <c r="D450" s="55" t="n"/>
      <c r="F450" s="51" t="n"/>
    </row>
    <row r="451">
      <c r="D451" s="55" t="n"/>
      <c r="F451" s="51" t="n"/>
    </row>
    <row r="452">
      <c r="D452" s="55" t="n"/>
      <c r="F452" s="51" t="n"/>
    </row>
    <row r="453">
      <c r="D453" s="55" t="n"/>
      <c r="F453" s="51" t="n"/>
    </row>
    <row r="454">
      <c r="D454" s="55" t="n"/>
      <c r="F454" s="51" t="n"/>
    </row>
    <row r="455">
      <c r="D455" s="55" t="n"/>
      <c r="F455" s="51" t="n"/>
    </row>
    <row r="456">
      <c r="D456" s="55" t="n"/>
      <c r="F456" s="51" t="n"/>
    </row>
    <row r="457">
      <c r="D457" s="55" t="n"/>
      <c r="F457" s="51" t="n"/>
    </row>
    <row r="458">
      <c r="D458" s="55" t="n"/>
      <c r="F458" s="51" t="n"/>
    </row>
    <row r="459">
      <c r="D459" s="55" t="n"/>
      <c r="F459" s="51" t="n"/>
    </row>
    <row r="460">
      <c r="D460" s="55" t="n"/>
      <c r="F460" s="51" t="n"/>
    </row>
    <row r="461">
      <c r="D461" s="55" t="n"/>
      <c r="F461" s="51" t="n"/>
    </row>
    <row r="462">
      <c r="D462" s="55" t="n"/>
      <c r="F462" s="51" t="n"/>
    </row>
    <row r="463">
      <c r="D463" s="55" t="n"/>
      <c r="F463" s="51" t="n"/>
    </row>
    <row r="464">
      <c r="D464" s="55" t="n"/>
      <c r="F464" s="51" t="n"/>
    </row>
    <row r="465">
      <c r="D465" s="55" t="n"/>
      <c r="F465" s="51" t="n"/>
    </row>
    <row r="466">
      <c r="D466" s="55" t="n"/>
      <c r="F466" s="51" t="n"/>
    </row>
    <row r="467">
      <c r="D467" s="55" t="n"/>
      <c r="F467" s="51" t="n"/>
    </row>
    <row r="468">
      <c r="D468" s="55" t="n"/>
      <c r="F468" s="51" t="n"/>
    </row>
    <row r="469">
      <c r="D469" s="55" t="n"/>
      <c r="F469" s="51" t="n"/>
    </row>
    <row r="470">
      <c r="D470" s="55" t="n"/>
      <c r="F470" s="51" t="n"/>
    </row>
    <row r="471">
      <c r="D471" s="55" t="n"/>
      <c r="F471" s="51" t="n"/>
    </row>
    <row r="472">
      <c r="D472" s="55" t="n"/>
      <c r="F472" s="51" t="n"/>
    </row>
    <row r="473">
      <c r="D473" s="55" t="n"/>
      <c r="F473" s="51" t="n"/>
    </row>
    <row r="474">
      <c r="D474" s="55" t="n"/>
      <c r="F474" s="51" t="n"/>
    </row>
    <row r="475">
      <c r="D475" s="55" t="n"/>
      <c r="F475" s="51" t="n"/>
    </row>
    <row r="476">
      <c r="D476" s="55" t="n"/>
      <c r="F476" s="51" t="n"/>
    </row>
    <row r="477">
      <c r="D477" s="55" t="n"/>
      <c r="F477" s="51" t="n"/>
    </row>
    <row r="478">
      <c r="D478" s="55" t="n"/>
      <c r="F478" s="51" t="n"/>
    </row>
    <row r="479">
      <c r="D479" s="55" t="n"/>
      <c r="F479" s="51" t="n"/>
    </row>
    <row r="480">
      <c r="D480" s="55" t="n"/>
      <c r="F480" s="51" t="n"/>
    </row>
    <row r="481">
      <c r="D481" s="55" t="n"/>
      <c r="F481" s="51" t="n"/>
    </row>
    <row r="482">
      <c r="D482" s="55" t="n"/>
      <c r="F482" s="51" t="n"/>
    </row>
    <row r="483">
      <c r="D483" s="55" t="n"/>
      <c r="F483" s="51" t="n"/>
    </row>
    <row r="484">
      <c r="D484" s="55" t="n"/>
      <c r="F484" s="51" t="n"/>
    </row>
    <row r="485">
      <c r="D485" s="55" t="n"/>
      <c r="F485" s="51" t="n"/>
    </row>
    <row r="486">
      <c r="D486" s="55" t="n"/>
      <c r="F486" s="51" t="n"/>
    </row>
    <row r="487">
      <c r="D487" s="55" t="n"/>
      <c r="F487" s="51" t="n"/>
    </row>
    <row r="488">
      <c r="D488" s="55" t="n"/>
      <c r="F488" s="51" t="n"/>
    </row>
    <row r="489">
      <c r="D489" s="55" t="n"/>
      <c r="F489" s="51" t="n"/>
    </row>
    <row r="490">
      <c r="D490" s="55" t="n"/>
      <c r="F490" s="51" t="n"/>
    </row>
    <row r="491">
      <c r="D491" s="55" t="n"/>
      <c r="F491" s="51" t="n"/>
    </row>
    <row r="492">
      <c r="D492" s="55" t="n"/>
      <c r="F492" s="51" t="n"/>
    </row>
    <row r="493">
      <c r="D493" s="55" t="n"/>
      <c r="F493" s="51" t="n"/>
    </row>
    <row r="494">
      <c r="D494" s="55" t="n"/>
      <c r="F494" s="51" t="n"/>
    </row>
    <row r="495">
      <c r="D495" s="55" t="n"/>
      <c r="F495" s="51" t="n"/>
    </row>
    <row r="496">
      <c r="D496" s="55" t="n"/>
      <c r="F496" s="51" t="n"/>
    </row>
    <row r="497">
      <c r="D497" s="55" t="n"/>
      <c r="F497" s="51" t="n"/>
    </row>
    <row r="498">
      <c r="D498" s="55" t="n"/>
      <c r="F498" s="51" t="n"/>
    </row>
    <row r="499">
      <c r="D499" s="55" t="n"/>
      <c r="F499" s="51" t="n"/>
    </row>
    <row r="500">
      <c r="D500" s="55" t="n"/>
      <c r="F500" s="51" t="n"/>
    </row>
    <row r="501">
      <c r="D501" s="55" t="n"/>
      <c r="F501" s="51" t="n"/>
    </row>
    <row r="502">
      <c r="D502" s="55" t="n"/>
      <c r="F502" s="51" t="n"/>
    </row>
    <row r="503">
      <c r="D503" s="55" t="n"/>
      <c r="F503" s="51" t="n"/>
    </row>
    <row r="504">
      <c r="D504" s="55" t="n"/>
      <c r="F504" s="51" t="n"/>
    </row>
    <row r="505">
      <c r="D505" s="55" t="n"/>
      <c r="F505" s="51" t="n"/>
    </row>
    <row r="506">
      <c r="D506" s="55" t="n"/>
      <c r="F506" s="51" t="n"/>
    </row>
    <row r="507">
      <c r="D507" s="55" t="n"/>
      <c r="F507" s="51" t="n"/>
    </row>
    <row r="508">
      <c r="D508" s="55" t="n"/>
      <c r="F508" s="51" t="n"/>
    </row>
    <row r="509">
      <c r="D509" s="55" t="n"/>
      <c r="F509" s="51" t="n"/>
    </row>
    <row r="510">
      <c r="D510" s="55" t="n"/>
      <c r="F510" s="51" t="n"/>
    </row>
    <row r="511">
      <c r="D511" s="55" t="n"/>
      <c r="F511" s="51" t="n"/>
    </row>
    <row r="512">
      <c r="D512" s="55" t="n"/>
      <c r="F512" s="51" t="n"/>
    </row>
    <row r="513">
      <c r="D513" s="55" t="n"/>
      <c r="F513" s="51" t="n"/>
    </row>
    <row r="514">
      <c r="D514" s="55" t="n"/>
      <c r="F514" s="51" t="n"/>
    </row>
    <row r="515">
      <c r="D515" s="55" t="n"/>
      <c r="F515" s="51" t="n"/>
    </row>
    <row r="516">
      <c r="D516" s="55" t="n"/>
      <c r="F516" s="51" t="n"/>
    </row>
    <row r="517">
      <c r="D517" s="55" t="n"/>
      <c r="F517" s="51" t="n"/>
    </row>
    <row r="518">
      <c r="D518" s="55" t="n"/>
      <c r="F518" s="51" t="n"/>
    </row>
    <row r="519">
      <c r="D519" s="55" t="n"/>
      <c r="F519" s="51" t="n"/>
    </row>
    <row r="520">
      <c r="D520" s="55" t="n"/>
      <c r="F520" s="51" t="n"/>
    </row>
    <row r="521">
      <c r="D521" s="55" t="n"/>
      <c r="F521" s="51" t="n"/>
    </row>
    <row r="522">
      <c r="D522" s="55" t="n"/>
      <c r="F522" s="51" t="n"/>
    </row>
    <row r="523">
      <c r="D523" s="55" t="n"/>
      <c r="F523" s="51" t="n"/>
    </row>
    <row r="524">
      <c r="D524" s="55" t="n"/>
      <c r="F524" s="51" t="n"/>
    </row>
    <row r="525">
      <c r="D525" s="55" t="n"/>
      <c r="F525" s="51" t="n"/>
    </row>
    <row r="526">
      <c r="D526" s="55" t="n"/>
      <c r="F526" s="51" t="n"/>
    </row>
    <row r="527">
      <c r="D527" s="55" t="n"/>
      <c r="F527" s="51" t="n"/>
    </row>
    <row r="528">
      <c r="D528" s="55" t="n"/>
      <c r="F528" s="51" t="n"/>
    </row>
    <row r="529">
      <c r="D529" s="55" t="n"/>
      <c r="F529" s="51" t="n"/>
    </row>
    <row r="530">
      <c r="D530" s="55" t="n"/>
      <c r="F530" s="51" t="n"/>
    </row>
    <row r="531">
      <c r="D531" s="55" t="n"/>
      <c r="F531" s="51" t="n"/>
    </row>
    <row r="532">
      <c r="D532" s="55" t="n"/>
      <c r="F532" s="51" t="n"/>
    </row>
    <row r="533">
      <c r="D533" s="55" t="n"/>
      <c r="F533" s="51" t="n"/>
    </row>
    <row r="534">
      <c r="D534" s="55" t="n"/>
      <c r="F534" s="51" t="n"/>
    </row>
    <row r="535">
      <c r="D535" s="55" t="n"/>
      <c r="F535" s="51" t="n"/>
    </row>
    <row r="536">
      <c r="D536" s="55" t="n"/>
      <c r="F536" s="51" t="n"/>
    </row>
    <row r="537">
      <c r="D537" s="55" t="n"/>
      <c r="F537" s="51" t="n"/>
    </row>
    <row r="538">
      <c r="D538" s="55" t="n"/>
      <c r="F538" s="51" t="n"/>
    </row>
    <row r="539">
      <c r="D539" s="55" t="n"/>
      <c r="F539" s="51" t="n"/>
    </row>
    <row r="540">
      <c r="D540" s="55" t="n"/>
      <c r="F540" s="51" t="n"/>
    </row>
    <row r="541">
      <c r="D541" s="55" t="n"/>
      <c r="F541" s="51" t="n"/>
    </row>
    <row r="542">
      <c r="D542" s="55" t="n"/>
      <c r="F542" s="51" t="n"/>
    </row>
    <row r="543">
      <c r="D543" s="55" t="n"/>
      <c r="F543" s="51" t="n"/>
    </row>
    <row r="544">
      <c r="D544" s="55" t="n"/>
      <c r="F544" s="51" t="n"/>
    </row>
    <row r="545">
      <c r="D545" s="55" t="n"/>
      <c r="F545" s="51" t="n"/>
    </row>
    <row r="546">
      <c r="D546" s="55" t="n"/>
      <c r="F546" s="51" t="n"/>
    </row>
    <row r="547">
      <c r="D547" s="55" t="n"/>
      <c r="F547" s="51" t="n"/>
    </row>
    <row r="548">
      <c r="D548" s="55" t="n"/>
      <c r="F548" s="51" t="n"/>
    </row>
    <row r="549">
      <c r="D549" s="55" t="n"/>
      <c r="F549" s="51" t="n"/>
    </row>
    <row r="550">
      <c r="D550" s="55" t="n"/>
      <c r="F550" s="51" t="n"/>
    </row>
    <row r="551">
      <c r="D551" s="55" t="n"/>
      <c r="F551" s="51" t="n"/>
    </row>
    <row r="552">
      <c r="D552" s="55" t="n"/>
      <c r="F552" s="51" t="n"/>
    </row>
    <row r="553">
      <c r="D553" s="55" t="n"/>
      <c r="F553" s="51" t="n"/>
    </row>
    <row r="554">
      <c r="D554" s="55" t="n"/>
      <c r="F554" s="51" t="n"/>
    </row>
    <row r="555">
      <c r="D555" s="55" t="n"/>
      <c r="F555" s="51" t="n"/>
    </row>
    <row r="556">
      <c r="D556" s="55" t="n"/>
      <c r="F556" s="51" t="n"/>
    </row>
    <row r="557">
      <c r="D557" s="55" t="n"/>
      <c r="F557" s="51" t="n"/>
    </row>
    <row r="558">
      <c r="D558" s="55" t="n"/>
      <c r="F558" s="51" t="n"/>
    </row>
    <row r="559">
      <c r="D559" s="55" t="n"/>
      <c r="F559" s="51" t="n"/>
    </row>
    <row r="560">
      <c r="D560" s="55" t="n"/>
      <c r="F560" s="51" t="n"/>
    </row>
    <row r="561">
      <c r="D561" s="55" t="n"/>
      <c r="F561" s="51" t="n"/>
    </row>
    <row r="562">
      <c r="D562" s="55" t="n"/>
      <c r="F562" s="51" t="n"/>
    </row>
    <row r="563">
      <c r="D563" s="55" t="n"/>
      <c r="F563" s="51" t="n"/>
    </row>
    <row r="564">
      <c r="D564" s="55" t="n"/>
      <c r="F564" s="51" t="n"/>
    </row>
    <row r="565">
      <c r="D565" s="55" t="n"/>
      <c r="F565" s="51" t="n"/>
    </row>
    <row r="566">
      <c r="D566" s="55" t="n"/>
      <c r="F566" s="51" t="n"/>
    </row>
    <row r="567">
      <c r="D567" s="55" t="n"/>
      <c r="F567" s="51" t="n"/>
    </row>
    <row r="568">
      <c r="D568" s="55" t="n"/>
      <c r="F568" s="51" t="n"/>
    </row>
    <row r="569">
      <c r="D569" s="55" t="n"/>
      <c r="F569" s="51" t="n"/>
    </row>
    <row r="570">
      <c r="D570" s="55" t="n"/>
      <c r="F570" s="51" t="n"/>
    </row>
    <row r="571">
      <c r="D571" s="55" t="n"/>
      <c r="F571" s="51" t="n"/>
    </row>
    <row r="572">
      <c r="D572" s="55" t="n"/>
      <c r="F572" s="51" t="n"/>
    </row>
    <row r="573">
      <c r="D573" s="55" t="n"/>
      <c r="F573" s="51" t="n"/>
    </row>
    <row r="574">
      <c r="D574" s="55" t="n"/>
      <c r="F574" s="51" t="n"/>
    </row>
    <row r="575">
      <c r="D575" s="55" t="n"/>
      <c r="F575" s="51" t="n"/>
    </row>
    <row r="576">
      <c r="D576" s="55" t="n"/>
      <c r="F576" s="51" t="n"/>
    </row>
    <row r="577">
      <c r="D577" s="55" t="n"/>
      <c r="F577" s="51" t="n"/>
    </row>
    <row r="578">
      <c r="D578" s="55" t="n"/>
      <c r="F578" s="51" t="n"/>
    </row>
    <row r="579">
      <c r="D579" s="55" t="n"/>
      <c r="F579" s="51" t="n"/>
    </row>
    <row r="580">
      <c r="D580" s="55" t="n"/>
      <c r="F580" s="51" t="n"/>
    </row>
    <row r="581">
      <c r="D581" s="55" t="n"/>
      <c r="F581" s="51" t="n"/>
    </row>
    <row r="582">
      <c r="D582" s="55" t="n"/>
      <c r="F582" s="51" t="n"/>
    </row>
    <row r="583">
      <c r="D583" s="55" t="n"/>
      <c r="F583" s="51" t="n"/>
    </row>
    <row r="584">
      <c r="D584" s="55" t="n"/>
      <c r="F584" s="51" t="n"/>
    </row>
    <row r="585">
      <c r="D585" s="55" t="n"/>
      <c r="F585" s="51" t="n"/>
    </row>
    <row r="586">
      <c r="D586" s="55" t="n"/>
      <c r="F586" s="51" t="n"/>
    </row>
    <row r="587">
      <c r="D587" s="55" t="n"/>
      <c r="F587" s="51" t="n"/>
    </row>
    <row r="588">
      <c r="D588" s="55" t="n"/>
      <c r="F588" s="51" t="n"/>
    </row>
    <row r="589">
      <c r="D589" s="55" t="n"/>
      <c r="F589" s="51" t="n"/>
    </row>
    <row r="590">
      <c r="D590" s="55" t="n"/>
      <c r="F590" s="51" t="n"/>
    </row>
    <row r="591">
      <c r="D591" s="55" t="n"/>
      <c r="F591" s="51" t="n"/>
    </row>
    <row r="592">
      <c r="D592" s="55" t="n"/>
      <c r="F592" s="51" t="n"/>
    </row>
    <row r="593">
      <c r="D593" s="55" t="n"/>
      <c r="F593" s="51" t="n"/>
    </row>
    <row r="594">
      <c r="D594" s="55" t="n"/>
      <c r="F594" s="51" t="n"/>
    </row>
    <row r="595">
      <c r="D595" s="55" t="n"/>
      <c r="F595" s="51" t="n"/>
    </row>
    <row r="596">
      <c r="D596" s="55" t="n"/>
      <c r="F596" s="51" t="n"/>
    </row>
    <row r="597">
      <c r="D597" s="55" t="n"/>
      <c r="F597" s="51" t="n"/>
    </row>
    <row r="598">
      <c r="D598" s="55" t="n"/>
      <c r="F598" s="51" t="n"/>
    </row>
    <row r="599">
      <c r="D599" s="55" t="n"/>
      <c r="F599" s="51" t="n"/>
    </row>
    <row r="600">
      <c r="D600" s="55" t="n"/>
      <c r="F600" s="51" t="n"/>
    </row>
    <row r="601">
      <c r="D601" s="55" t="n"/>
      <c r="F601" s="51" t="n"/>
    </row>
    <row r="602">
      <c r="D602" s="55" t="n"/>
      <c r="F602" s="51" t="n"/>
    </row>
    <row r="603">
      <c r="D603" s="55" t="n"/>
      <c r="F603" s="51" t="n"/>
    </row>
    <row r="604">
      <c r="D604" s="55" t="n"/>
      <c r="F604" s="51" t="n"/>
    </row>
    <row r="605">
      <c r="D605" s="55" t="n"/>
      <c r="F605" s="51" t="n"/>
    </row>
    <row r="606">
      <c r="D606" s="55" t="n"/>
      <c r="F606" s="51" t="n"/>
    </row>
    <row r="607">
      <c r="D607" s="55" t="n"/>
      <c r="F607" s="51" t="n"/>
    </row>
    <row r="608">
      <c r="D608" s="55" t="n"/>
      <c r="F608" s="51" t="n"/>
    </row>
    <row r="609">
      <c r="D609" s="55" t="n"/>
      <c r="F609" s="51" t="n"/>
    </row>
    <row r="610">
      <c r="D610" s="55" t="n"/>
      <c r="F610" s="51" t="n"/>
    </row>
    <row r="611">
      <c r="D611" s="55" t="n"/>
      <c r="F611" s="51" t="n"/>
    </row>
    <row r="612">
      <c r="D612" s="55" t="n"/>
      <c r="F612" s="51" t="n"/>
    </row>
    <row r="613">
      <c r="D613" s="55" t="n"/>
      <c r="F613" s="51" t="n"/>
    </row>
    <row r="614">
      <c r="D614" s="55" t="n"/>
      <c r="F614" s="51" t="n"/>
    </row>
    <row r="615">
      <c r="D615" s="55" t="n"/>
      <c r="F615" s="51" t="n"/>
    </row>
    <row r="616">
      <c r="D616" s="55" t="n"/>
      <c r="F616" s="51" t="n"/>
    </row>
    <row r="617">
      <c r="D617" s="55" t="n"/>
      <c r="F617" s="51" t="n"/>
    </row>
    <row r="618">
      <c r="D618" s="55" t="n"/>
      <c r="F618" s="51" t="n"/>
    </row>
    <row r="619">
      <c r="D619" s="55" t="n"/>
      <c r="F619" s="51" t="n"/>
    </row>
    <row r="620">
      <c r="D620" s="55" t="n"/>
      <c r="F620" s="51" t="n"/>
    </row>
    <row r="621">
      <c r="D621" s="55" t="n"/>
      <c r="F621" s="51" t="n"/>
    </row>
    <row r="622">
      <c r="D622" s="55" t="n"/>
      <c r="F622" s="51" t="n"/>
    </row>
    <row r="623">
      <c r="D623" s="55" t="n"/>
      <c r="F623" s="51" t="n"/>
    </row>
    <row r="624">
      <c r="D624" s="55" t="n"/>
      <c r="F624" s="51" t="n"/>
    </row>
    <row r="625">
      <c r="D625" s="55" t="n"/>
      <c r="F625" s="51" t="n"/>
    </row>
    <row r="626">
      <c r="D626" s="55" t="n"/>
      <c r="F626" s="51" t="n"/>
    </row>
    <row r="627">
      <c r="D627" s="55" t="n"/>
      <c r="F627" s="51" t="n"/>
    </row>
    <row r="628">
      <c r="D628" s="55" t="n"/>
      <c r="F628" s="51" t="n"/>
    </row>
    <row r="629">
      <c r="D629" s="55" t="n"/>
      <c r="F629" s="51" t="n"/>
    </row>
    <row r="630">
      <c r="D630" s="55" t="n"/>
      <c r="F630" s="51" t="n"/>
    </row>
    <row r="631">
      <c r="D631" s="55" t="n"/>
      <c r="F631" s="51" t="n"/>
    </row>
    <row r="632">
      <c r="D632" s="55" t="n"/>
      <c r="F632" s="51" t="n"/>
    </row>
    <row r="633">
      <c r="D633" s="55" t="n"/>
      <c r="F633" s="51" t="n"/>
    </row>
    <row r="634">
      <c r="D634" s="55" t="n"/>
      <c r="F634" s="51" t="n"/>
    </row>
    <row r="635">
      <c r="D635" s="55" t="n"/>
      <c r="F635" s="51" t="n"/>
    </row>
    <row r="636">
      <c r="D636" s="55" t="n"/>
      <c r="F636" s="51" t="n"/>
    </row>
    <row r="637">
      <c r="D637" s="55" t="n"/>
      <c r="F637" s="51" t="n"/>
    </row>
    <row r="638">
      <c r="D638" s="55" t="n"/>
      <c r="F638" s="51" t="n"/>
    </row>
    <row r="639">
      <c r="D639" s="55" t="n"/>
      <c r="F639" s="51" t="n"/>
    </row>
    <row r="640">
      <c r="D640" s="55" t="n"/>
      <c r="F640" s="51" t="n"/>
    </row>
    <row r="641">
      <c r="D641" s="55" t="n"/>
      <c r="F641" s="51" t="n"/>
    </row>
    <row r="642">
      <c r="D642" s="55" t="n"/>
      <c r="F642" s="51" t="n"/>
    </row>
    <row r="643">
      <c r="D643" s="55" t="n"/>
      <c r="F643" s="51" t="n"/>
    </row>
    <row r="644">
      <c r="D644" s="55" t="n"/>
      <c r="F644" s="51" t="n"/>
    </row>
    <row r="645">
      <c r="D645" s="55" t="n"/>
      <c r="F645" s="51" t="n"/>
    </row>
    <row r="646">
      <c r="D646" s="55" t="n"/>
      <c r="F646" s="51" t="n"/>
    </row>
    <row r="647">
      <c r="D647" s="55" t="n"/>
      <c r="F647" s="51" t="n"/>
    </row>
    <row r="648">
      <c r="D648" s="55" t="n"/>
      <c r="F648" s="51" t="n"/>
    </row>
    <row r="649">
      <c r="D649" s="55" t="n"/>
      <c r="F649" s="51" t="n"/>
    </row>
    <row r="650">
      <c r="D650" s="55" t="n"/>
      <c r="F650" s="51" t="n"/>
    </row>
    <row r="651">
      <c r="D651" s="55" t="n"/>
      <c r="F651" s="51" t="n"/>
    </row>
    <row r="652">
      <c r="D652" s="55" t="n"/>
      <c r="F652" s="51" t="n"/>
    </row>
    <row r="653">
      <c r="D653" s="55" t="n"/>
      <c r="F653" s="51" t="n"/>
    </row>
    <row r="654">
      <c r="D654" s="55" t="n"/>
      <c r="F654" s="51" t="n"/>
    </row>
    <row r="655">
      <c r="D655" s="55" t="n"/>
      <c r="F655" s="51" t="n"/>
    </row>
    <row r="656">
      <c r="D656" s="55" t="n"/>
      <c r="F656" s="51" t="n"/>
    </row>
    <row r="657">
      <c r="D657" s="55" t="n"/>
      <c r="F657" s="51" t="n"/>
    </row>
    <row r="658">
      <c r="D658" s="55" t="n"/>
      <c r="F658" s="51" t="n"/>
    </row>
    <row r="659">
      <c r="D659" s="55" t="n"/>
      <c r="F659" s="51" t="n"/>
    </row>
    <row r="660">
      <c r="D660" s="55" t="n"/>
      <c r="F660" s="51" t="n"/>
    </row>
    <row r="661">
      <c r="D661" s="55" t="n"/>
      <c r="F661" s="51" t="n"/>
    </row>
    <row r="662">
      <c r="D662" s="55" t="n"/>
      <c r="F662" s="51" t="n"/>
    </row>
    <row r="663">
      <c r="D663" s="55" t="n"/>
      <c r="F663" s="51" t="n"/>
    </row>
    <row r="664">
      <c r="D664" s="55" t="n"/>
      <c r="F664" s="51" t="n"/>
    </row>
    <row r="665">
      <c r="D665" s="55" t="n"/>
      <c r="F665" s="51" t="n"/>
    </row>
    <row r="666">
      <c r="D666" s="55" t="n"/>
      <c r="F666" s="51" t="n"/>
    </row>
    <row r="667">
      <c r="D667" s="55" t="n"/>
      <c r="F667" s="51" t="n"/>
    </row>
    <row r="668">
      <c r="D668" s="55" t="n"/>
      <c r="F668" s="51" t="n"/>
    </row>
    <row r="669">
      <c r="D669" s="55" t="n"/>
      <c r="F669" s="51" t="n"/>
    </row>
    <row r="670">
      <c r="D670" s="55" t="n"/>
      <c r="F670" s="51" t="n"/>
    </row>
    <row r="671">
      <c r="D671" s="55" t="n"/>
      <c r="F671" s="51" t="n"/>
    </row>
    <row r="672">
      <c r="D672" s="55" t="n"/>
      <c r="F672" s="51" t="n"/>
    </row>
    <row r="673">
      <c r="D673" s="55" t="n"/>
      <c r="F673" s="51" t="n"/>
    </row>
    <row r="674">
      <c r="D674" s="55" t="n"/>
      <c r="F674" s="51" t="n"/>
    </row>
    <row r="675">
      <c r="D675" s="55" t="n"/>
      <c r="F675" s="51" t="n"/>
    </row>
    <row r="676">
      <c r="D676" s="55" t="n"/>
      <c r="F676" s="51" t="n"/>
    </row>
    <row r="677">
      <c r="D677" s="55" t="n"/>
      <c r="F677" s="51" t="n"/>
    </row>
    <row r="678">
      <c r="D678" s="55" t="n"/>
      <c r="F678" s="51" t="n"/>
    </row>
    <row r="679">
      <c r="D679" s="55" t="n"/>
      <c r="F679" s="51" t="n"/>
    </row>
    <row r="680">
      <c r="D680" s="55" t="n"/>
      <c r="F680" s="51" t="n"/>
    </row>
    <row r="681">
      <c r="D681" s="55" t="n"/>
      <c r="F681" s="51" t="n"/>
    </row>
    <row r="682">
      <c r="D682" s="55" t="n"/>
      <c r="F682" s="51" t="n"/>
    </row>
    <row r="683">
      <c r="D683" s="55" t="n"/>
      <c r="F683" s="51" t="n"/>
    </row>
    <row r="684">
      <c r="D684" s="55" t="n"/>
      <c r="F684" s="51" t="n"/>
    </row>
    <row r="685">
      <c r="D685" s="55" t="n"/>
      <c r="F685" s="51" t="n"/>
    </row>
    <row r="686">
      <c r="D686" s="55" t="n"/>
      <c r="F686" s="51" t="n"/>
    </row>
    <row r="687">
      <c r="D687" s="55" t="n"/>
      <c r="F687" s="51" t="n"/>
    </row>
    <row r="688">
      <c r="D688" s="55" t="n"/>
      <c r="F688" s="51" t="n"/>
    </row>
    <row r="689">
      <c r="D689" s="55" t="n"/>
      <c r="F689" s="51" t="n"/>
    </row>
    <row r="690">
      <c r="D690" s="55" t="n"/>
      <c r="F690" s="51" t="n"/>
    </row>
    <row r="691">
      <c r="D691" s="55" t="n"/>
      <c r="F691" s="51" t="n"/>
    </row>
    <row r="692">
      <c r="D692" s="55" t="n"/>
      <c r="F692" s="51" t="n"/>
    </row>
    <row r="693">
      <c r="D693" s="55" t="n"/>
      <c r="F693" s="51" t="n"/>
    </row>
    <row r="694">
      <c r="D694" s="55" t="n"/>
      <c r="F694" s="51" t="n"/>
    </row>
    <row r="695">
      <c r="D695" s="55" t="n"/>
      <c r="F695" s="51" t="n"/>
    </row>
    <row r="696">
      <c r="D696" s="55" t="n"/>
      <c r="F696" s="51" t="n"/>
    </row>
    <row r="697">
      <c r="D697" s="55" t="n"/>
      <c r="F697" s="51" t="n"/>
    </row>
    <row r="698">
      <c r="D698" s="55" t="n"/>
      <c r="F698" s="51" t="n"/>
    </row>
    <row r="699">
      <c r="D699" s="55" t="n"/>
      <c r="F699" s="51" t="n"/>
    </row>
    <row r="700">
      <c r="D700" s="55" t="n"/>
      <c r="F700" s="51" t="n"/>
    </row>
    <row r="701">
      <c r="D701" s="55" t="n"/>
      <c r="F701" s="51" t="n"/>
    </row>
    <row r="702">
      <c r="D702" s="55" t="n"/>
      <c r="F702" s="51" t="n"/>
    </row>
    <row r="703">
      <c r="D703" s="55" t="n"/>
      <c r="F703" s="51" t="n"/>
    </row>
    <row r="704">
      <c r="D704" s="55" t="n"/>
      <c r="F704" s="51" t="n"/>
    </row>
    <row r="705">
      <c r="D705" s="55" t="n"/>
      <c r="F705" s="51" t="n"/>
    </row>
    <row r="706">
      <c r="D706" s="55" t="n"/>
      <c r="F706" s="51" t="n"/>
    </row>
    <row r="707">
      <c r="D707" s="55" t="n"/>
      <c r="F707" s="51" t="n"/>
    </row>
    <row r="708">
      <c r="D708" s="55" t="n"/>
      <c r="F708" s="51" t="n"/>
    </row>
    <row r="709">
      <c r="D709" s="55" t="n"/>
      <c r="F709" s="51" t="n"/>
    </row>
    <row r="710">
      <c r="D710" s="55" t="n"/>
      <c r="F710" s="51" t="n"/>
    </row>
    <row r="711">
      <c r="D711" s="55" t="n"/>
      <c r="F711" s="51" t="n"/>
    </row>
    <row r="712">
      <c r="D712" s="55" t="n"/>
      <c r="F712" s="51" t="n"/>
    </row>
    <row r="713">
      <c r="D713" s="55" t="n"/>
      <c r="F713" s="51" t="n"/>
    </row>
    <row r="714">
      <c r="D714" s="55" t="n"/>
      <c r="F714" s="51" t="n"/>
    </row>
    <row r="715">
      <c r="D715" s="55" t="n"/>
      <c r="F715" s="51" t="n"/>
    </row>
    <row r="716">
      <c r="D716" s="55" t="n"/>
      <c r="F716" s="51" t="n"/>
    </row>
    <row r="717">
      <c r="D717" s="55" t="n"/>
      <c r="F717" s="51" t="n"/>
    </row>
    <row r="718">
      <c r="D718" s="55" t="n"/>
      <c r="F718" s="51" t="n"/>
    </row>
    <row r="719">
      <c r="D719" s="55" t="n"/>
      <c r="F719" s="51" t="n"/>
    </row>
    <row r="720">
      <c r="D720" s="55" t="n"/>
      <c r="F720" s="51" t="n"/>
    </row>
    <row r="721">
      <c r="D721" s="55" t="n"/>
      <c r="F721" s="51" t="n"/>
    </row>
    <row r="722">
      <c r="D722" s="55" t="n"/>
      <c r="F722" s="51" t="n"/>
    </row>
    <row r="723">
      <c r="D723" s="55" t="n"/>
      <c r="F723" s="51" t="n"/>
    </row>
    <row r="724">
      <c r="D724" s="55" t="n"/>
      <c r="F724" s="51" t="n"/>
    </row>
    <row r="725">
      <c r="D725" s="55" t="n"/>
      <c r="F725" s="51" t="n"/>
    </row>
    <row r="726">
      <c r="D726" s="55" t="n"/>
      <c r="F726" s="51" t="n"/>
    </row>
    <row r="727">
      <c r="D727" s="55" t="n"/>
      <c r="F727" s="51" t="n"/>
    </row>
    <row r="728">
      <c r="D728" s="55" t="n"/>
      <c r="F728" s="51" t="n"/>
    </row>
    <row r="729">
      <c r="D729" s="55" t="n"/>
      <c r="F729" s="51" t="n"/>
    </row>
    <row r="730">
      <c r="D730" s="55" t="n"/>
      <c r="F730" s="51" t="n"/>
    </row>
    <row r="731">
      <c r="D731" s="55" t="n"/>
      <c r="F731" s="51" t="n"/>
    </row>
    <row r="732">
      <c r="D732" s="55" t="n"/>
      <c r="F732" s="51" t="n"/>
    </row>
    <row r="733">
      <c r="D733" s="55" t="n"/>
      <c r="F733" s="51" t="n"/>
    </row>
    <row r="734">
      <c r="D734" s="55" t="n"/>
      <c r="F734" s="51" t="n"/>
    </row>
    <row r="735">
      <c r="D735" s="55" t="n"/>
      <c r="F735" s="51" t="n"/>
    </row>
    <row r="736">
      <c r="D736" s="55" t="n"/>
      <c r="F736" s="51" t="n"/>
    </row>
    <row r="737">
      <c r="D737" s="55" t="n"/>
      <c r="F737" s="51" t="n"/>
    </row>
    <row r="738">
      <c r="D738" s="55" t="n"/>
      <c r="F738" s="51" t="n"/>
    </row>
    <row r="739">
      <c r="D739" s="55" t="n"/>
      <c r="F739" s="51" t="n"/>
    </row>
    <row r="740">
      <c r="D740" s="55" t="n"/>
      <c r="F740" s="51" t="n"/>
    </row>
    <row r="741">
      <c r="D741" s="55" t="n"/>
      <c r="F741" s="51" t="n"/>
    </row>
    <row r="742">
      <c r="D742" s="55" t="n"/>
      <c r="F742" s="51" t="n"/>
    </row>
    <row r="743">
      <c r="D743" s="55" t="n"/>
      <c r="F743" s="51" t="n"/>
    </row>
    <row r="744">
      <c r="D744" s="55" t="n"/>
      <c r="F744" s="51" t="n"/>
    </row>
    <row r="745">
      <c r="D745" s="55" t="n"/>
      <c r="F745" s="51" t="n"/>
    </row>
    <row r="746">
      <c r="D746" s="55" t="n"/>
      <c r="F746" s="51" t="n"/>
    </row>
    <row r="747">
      <c r="D747" s="55" t="n"/>
      <c r="F747" s="51" t="n"/>
    </row>
    <row r="748">
      <c r="D748" s="55" t="n"/>
      <c r="F748" s="51" t="n"/>
    </row>
    <row r="749">
      <c r="D749" s="55" t="n"/>
      <c r="F749" s="51" t="n"/>
    </row>
    <row r="750">
      <c r="D750" s="55" t="n"/>
      <c r="F750" s="51" t="n"/>
    </row>
    <row r="751">
      <c r="D751" s="55" t="n"/>
      <c r="F751" s="51" t="n"/>
    </row>
    <row r="752">
      <c r="D752" s="55" t="n"/>
      <c r="F752" s="51" t="n"/>
    </row>
    <row r="753">
      <c r="D753" s="55" t="n"/>
      <c r="F753" s="51" t="n"/>
    </row>
    <row r="754">
      <c r="D754" s="55" t="n"/>
      <c r="F754" s="51" t="n"/>
    </row>
    <row r="755">
      <c r="D755" s="55" t="n"/>
      <c r="F755" s="51" t="n"/>
    </row>
    <row r="756">
      <c r="D756" s="55" t="n"/>
      <c r="F756" s="51" t="n"/>
    </row>
    <row r="757">
      <c r="D757" s="55" t="n"/>
      <c r="F757" s="51" t="n"/>
    </row>
    <row r="758">
      <c r="D758" s="55" t="n"/>
      <c r="F758" s="51" t="n"/>
    </row>
    <row r="759">
      <c r="D759" s="55" t="n"/>
      <c r="F759" s="51" t="n"/>
    </row>
    <row r="760">
      <c r="D760" s="55" t="n"/>
      <c r="F760" s="51" t="n"/>
    </row>
    <row r="761">
      <c r="D761" s="55" t="n"/>
      <c r="F761" s="51" t="n"/>
    </row>
    <row r="762">
      <c r="D762" s="55" t="n"/>
      <c r="F762" s="51" t="n"/>
    </row>
    <row r="763">
      <c r="D763" s="55" t="n"/>
      <c r="F763" s="51" t="n"/>
    </row>
    <row r="764">
      <c r="D764" s="55" t="n"/>
      <c r="F764" s="51" t="n"/>
    </row>
    <row r="765">
      <c r="D765" s="55" t="n"/>
      <c r="F765" s="51" t="n"/>
    </row>
    <row r="766">
      <c r="D766" s="55" t="n"/>
      <c r="F766" s="51" t="n"/>
    </row>
    <row r="767">
      <c r="D767" s="55" t="n"/>
      <c r="F767" s="51" t="n"/>
    </row>
    <row r="768">
      <c r="D768" s="55" t="n"/>
      <c r="F768" s="51" t="n"/>
    </row>
    <row r="769">
      <c r="D769" s="55" t="n"/>
      <c r="F769" s="51" t="n"/>
    </row>
    <row r="770">
      <c r="D770" s="55" t="n"/>
      <c r="F770" s="51" t="n"/>
    </row>
    <row r="771">
      <c r="D771" s="55" t="n"/>
      <c r="F771" s="51" t="n"/>
    </row>
    <row r="772">
      <c r="D772" s="55" t="n"/>
      <c r="F772" s="51" t="n"/>
    </row>
    <row r="773">
      <c r="D773" s="55" t="n"/>
      <c r="F773" s="51" t="n"/>
    </row>
    <row r="774">
      <c r="D774" s="55" t="n"/>
      <c r="F774" s="51" t="n"/>
    </row>
    <row r="775">
      <c r="D775" s="55" t="n"/>
      <c r="F775" s="51" t="n"/>
    </row>
    <row r="776">
      <c r="D776" s="55" t="n"/>
      <c r="F776" s="51" t="n"/>
    </row>
    <row r="777">
      <c r="D777" s="55" t="n"/>
      <c r="F777" s="51" t="n"/>
    </row>
    <row r="778">
      <c r="D778" s="55" t="n"/>
      <c r="F778" s="51" t="n"/>
    </row>
    <row r="779">
      <c r="D779" s="55" t="n"/>
      <c r="F779" s="51" t="n"/>
    </row>
    <row r="780">
      <c r="D780" s="55" t="n"/>
      <c r="F780" s="51" t="n"/>
    </row>
    <row r="781">
      <c r="D781" s="55" t="n"/>
      <c r="F781" s="51" t="n"/>
    </row>
    <row r="782">
      <c r="D782" s="55" t="n"/>
      <c r="F782" s="51" t="n"/>
    </row>
    <row r="783">
      <c r="D783" s="55" t="n"/>
      <c r="F783" s="51" t="n"/>
    </row>
    <row r="784">
      <c r="D784" s="55" t="n"/>
      <c r="F784" s="51" t="n"/>
    </row>
    <row r="785">
      <c r="D785" s="55" t="n"/>
      <c r="F785" s="51" t="n"/>
    </row>
    <row r="786">
      <c r="D786" s="55" t="n"/>
      <c r="F786" s="51" t="n"/>
    </row>
    <row r="787">
      <c r="D787" s="55" t="n"/>
      <c r="F787" s="51" t="n"/>
    </row>
    <row r="788">
      <c r="D788" s="55" t="n"/>
      <c r="F788" s="51" t="n"/>
    </row>
    <row r="789">
      <c r="D789" s="55" t="n"/>
      <c r="F789" s="51" t="n"/>
    </row>
    <row r="790">
      <c r="D790" s="55" t="n"/>
      <c r="F790" s="51" t="n"/>
    </row>
    <row r="791">
      <c r="D791" s="55" t="n"/>
      <c r="F791" s="51" t="n"/>
    </row>
    <row r="792">
      <c r="D792" s="55" t="n"/>
      <c r="F792" s="51" t="n"/>
    </row>
    <row r="793">
      <c r="D793" s="55" t="n"/>
      <c r="F793" s="51" t="n"/>
    </row>
    <row r="794">
      <c r="D794" s="55" t="n"/>
      <c r="F794" s="51" t="n"/>
    </row>
    <row r="795">
      <c r="D795" s="55" t="n"/>
      <c r="F795" s="51" t="n"/>
    </row>
    <row r="796">
      <c r="D796" s="55" t="n"/>
      <c r="F796" s="51" t="n"/>
    </row>
    <row r="797">
      <c r="D797" s="55" t="n"/>
      <c r="F797" s="51" t="n"/>
    </row>
    <row r="798">
      <c r="D798" s="55" t="n"/>
      <c r="F798" s="51" t="n"/>
    </row>
    <row r="799">
      <c r="D799" s="55" t="n"/>
      <c r="F799" s="51" t="n"/>
    </row>
    <row r="800">
      <c r="D800" s="55" t="n"/>
      <c r="F800" s="51" t="n"/>
    </row>
    <row r="801">
      <c r="D801" s="55" t="n"/>
      <c r="F801" s="51" t="n"/>
    </row>
    <row r="802">
      <c r="D802" s="55" t="n"/>
      <c r="F802" s="51" t="n"/>
    </row>
    <row r="803">
      <c r="D803" s="55" t="n"/>
      <c r="F803" s="51" t="n"/>
    </row>
    <row r="804">
      <c r="D804" s="55" t="n"/>
      <c r="F804" s="51" t="n"/>
    </row>
    <row r="805">
      <c r="D805" s="55" t="n"/>
      <c r="F805" s="51" t="n"/>
    </row>
    <row r="806">
      <c r="D806" s="55" t="n"/>
      <c r="F806" s="51" t="n"/>
    </row>
    <row r="807">
      <c r="D807" s="55" t="n"/>
      <c r="F807" s="51" t="n"/>
    </row>
    <row r="808">
      <c r="D808" s="55" t="n"/>
      <c r="F808" s="51" t="n"/>
    </row>
    <row r="809">
      <c r="D809" s="55" t="n"/>
      <c r="F809" s="51" t="n"/>
    </row>
    <row r="810">
      <c r="D810" s="55" t="n"/>
      <c r="F810" s="51" t="n"/>
    </row>
    <row r="811">
      <c r="D811" s="55" t="n"/>
      <c r="F811" s="51" t="n"/>
    </row>
    <row r="812">
      <c r="D812" s="55" t="n"/>
      <c r="F812" s="51" t="n"/>
    </row>
    <row r="813">
      <c r="D813" s="55" t="n"/>
      <c r="F813" s="51" t="n"/>
    </row>
    <row r="814">
      <c r="D814" s="55" t="n"/>
      <c r="F814" s="51" t="n"/>
    </row>
    <row r="815">
      <c r="D815" s="55" t="n"/>
      <c r="F815" s="51" t="n"/>
    </row>
    <row r="816">
      <c r="D816" s="55" t="n"/>
      <c r="F816" s="51" t="n"/>
    </row>
    <row r="817">
      <c r="D817" s="55" t="n"/>
      <c r="F817" s="51" t="n"/>
    </row>
    <row r="818">
      <c r="D818" s="55" t="n"/>
      <c r="F818" s="51" t="n"/>
    </row>
    <row r="819">
      <c r="D819" s="55" t="n"/>
      <c r="F819" s="51" t="n"/>
    </row>
    <row r="820">
      <c r="D820" s="55" t="n"/>
      <c r="F820" s="51" t="n"/>
    </row>
    <row r="821">
      <c r="D821" s="55" t="n"/>
      <c r="F821" s="51" t="n"/>
    </row>
    <row r="822">
      <c r="D822" s="55" t="n"/>
      <c r="F822" s="51" t="n"/>
    </row>
    <row r="823">
      <c r="D823" s="55" t="n"/>
      <c r="F823" s="51" t="n"/>
    </row>
    <row r="824">
      <c r="D824" s="55" t="n"/>
      <c r="F824" s="51" t="n"/>
    </row>
    <row r="825">
      <c r="D825" s="55" t="n"/>
      <c r="F825" s="51" t="n"/>
    </row>
    <row r="826">
      <c r="D826" s="55" t="n"/>
      <c r="F826" s="51" t="n"/>
    </row>
    <row r="827">
      <c r="D827" s="55" t="n"/>
      <c r="F827" s="51" t="n"/>
    </row>
    <row r="828">
      <c r="D828" s="55" t="n"/>
      <c r="F828" s="51" t="n"/>
    </row>
    <row r="829">
      <c r="D829" s="55" t="n"/>
      <c r="F829" s="51" t="n"/>
    </row>
    <row r="830">
      <c r="D830" s="55" t="n"/>
      <c r="F830" s="51" t="n"/>
    </row>
    <row r="831">
      <c r="D831" s="55" t="n"/>
      <c r="F831" s="51" t="n"/>
    </row>
    <row r="832">
      <c r="D832" s="55" t="n"/>
      <c r="F832" s="51" t="n"/>
    </row>
    <row r="833">
      <c r="D833" s="55" t="n"/>
      <c r="F833" s="51" t="n"/>
    </row>
    <row r="834">
      <c r="D834" s="55" t="n"/>
      <c r="F834" s="51" t="n"/>
    </row>
    <row r="835">
      <c r="D835" s="55" t="n"/>
      <c r="F835" s="51" t="n"/>
    </row>
    <row r="836">
      <c r="D836" s="55" t="n"/>
      <c r="F836" s="51" t="n"/>
    </row>
    <row r="837">
      <c r="D837" s="55" t="n"/>
      <c r="F837" s="51" t="n"/>
    </row>
    <row r="838">
      <c r="D838" s="55" t="n"/>
      <c r="F838" s="51" t="n"/>
    </row>
    <row r="839">
      <c r="D839" s="55" t="n"/>
      <c r="F839" s="51" t="n"/>
    </row>
    <row r="840">
      <c r="D840" s="55" t="n"/>
      <c r="F840" s="51" t="n"/>
    </row>
    <row r="841">
      <c r="D841" s="55" t="n"/>
      <c r="F841" s="51" t="n"/>
    </row>
    <row r="842">
      <c r="D842" s="55" t="n"/>
      <c r="F842" s="51" t="n"/>
    </row>
    <row r="843">
      <c r="D843" s="55" t="n"/>
      <c r="F843" s="51" t="n"/>
    </row>
    <row r="844">
      <c r="D844" s="55" t="n"/>
      <c r="F844" s="51" t="n"/>
    </row>
    <row r="845">
      <c r="D845" s="55" t="n"/>
      <c r="F845" s="51" t="n"/>
    </row>
    <row r="846">
      <c r="D846" s="55" t="n"/>
      <c r="F846" s="51" t="n"/>
    </row>
    <row r="847">
      <c r="D847" s="55" t="n"/>
      <c r="F847" s="51" t="n"/>
    </row>
    <row r="848">
      <c r="D848" s="55" t="n"/>
      <c r="F848" s="51" t="n"/>
    </row>
    <row r="849">
      <c r="D849" s="55" t="n"/>
      <c r="F849" s="51" t="n"/>
    </row>
    <row r="850">
      <c r="D850" s="55" t="n"/>
      <c r="F850" s="51" t="n"/>
    </row>
    <row r="851">
      <c r="D851" s="55" t="n"/>
      <c r="F851" s="51" t="n"/>
    </row>
    <row r="852">
      <c r="D852" s="55" t="n"/>
      <c r="F852" s="51" t="n"/>
    </row>
    <row r="853">
      <c r="D853" s="55" t="n"/>
      <c r="F853" s="51" t="n"/>
    </row>
    <row r="854">
      <c r="D854" s="55" t="n"/>
      <c r="F854" s="51" t="n"/>
    </row>
    <row r="855">
      <c r="D855" s="55" t="n"/>
      <c r="F855" s="51" t="n"/>
    </row>
    <row r="856">
      <c r="D856" s="55" t="n"/>
      <c r="F856" s="51" t="n"/>
    </row>
    <row r="857">
      <c r="D857" s="55" t="n"/>
      <c r="F857" s="51" t="n"/>
    </row>
    <row r="858">
      <c r="D858" s="55" t="n"/>
      <c r="F858" s="51" t="n"/>
    </row>
    <row r="859">
      <c r="D859" s="55" t="n"/>
      <c r="F859" s="51" t="n"/>
    </row>
    <row r="860">
      <c r="D860" s="55" t="n"/>
      <c r="F860" s="51" t="n"/>
    </row>
    <row r="861">
      <c r="D861" s="55" t="n"/>
      <c r="F861" s="51" t="n"/>
    </row>
    <row r="862">
      <c r="D862" s="55" t="n"/>
      <c r="F862" s="51" t="n"/>
    </row>
    <row r="863">
      <c r="D863" s="55" t="n"/>
      <c r="F863" s="51" t="n"/>
    </row>
    <row r="864">
      <c r="D864" s="55" t="n"/>
      <c r="F864" s="51" t="n"/>
    </row>
    <row r="865">
      <c r="D865" s="55" t="n"/>
      <c r="F865" s="51" t="n"/>
    </row>
    <row r="866">
      <c r="D866" s="55" t="n"/>
      <c r="F866" s="51" t="n"/>
    </row>
    <row r="867">
      <c r="D867" s="55" t="n"/>
      <c r="F867" s="51" t="n"/>
    </row>
    <row r="868">
      <c r="D868" s="55" t="n"/>
      <c r="F868" s="51" t="n"/>
    </row>
    <row r="869">
      <c r="D869" s="55" t="n"/>
      <c r="F869" s="51" t="n"/>
    </row>
    <row r="870">
      <c r="D870" s="55" t="n"/>
      <c r="F870" s="51" t="n"/>
    </row>
    <row r="871">
      <c r="D871" s="55" t="n"/>
      <c r="F871" s="51" t="n"/>
    </row>
    <row r="872">
      <c r="D872" s="55" t="n"/>
      <c r="F872" s="51" t="n"/>
    </row>
    <row r="873">
      <c r="D873" s="55" t="n"/>
      <c r="F873" s="51" t="n"/>
    </row>
    <row r="874">
      <c r="D874" s="55" t="n"/>
      <c r="F874" s="51" t="n"/>
    </row>
    <row r="875">
      <c r="D875" s="55" t="n"/>
      <c r="F875" s="51" t="n"/>
    </row>
    <row r="876">
      <c r="D876" s="55" t="n"/>
      <c r="F876" s="51" t="n"/>
    </row>
    <row r="877">
      <c r="D877" s="55" t="n"/>
      <c r="F877" s="51" t="n"/>
    </row>
    <row r="878">
      <c r="D878" s="55" t="n"/>
      <c r="F878" s="51" t="n"/>
    </row>
    <row r="879">
      <c r="D879" s="55" t="n"/>
      <c r="F879" s="51" t="n"/>
    </row>
    <row r="880">
      <c r="D880" s="55" t="n"/>
      <c r="F880" s="51" t="n"/>
    </row>
    <row r="881">
      <c r="D881" s="55" t="n"/>
      <c r="F881" s="51" t="n"/>
    </row>
    <row r="882">
      <c r="D882" s="55" t="n"/>
      <c r="F882" s="51" t="n"/>
    </row>
    <row r="883">
      <c r="D883" s="55" t="n"/>
      <c r="F883" s="51" t="n"/>
    </row>
    <row r="884">
      <c r="D884" s="55" t="n"/>
      <c r="F884" s="51" t="n"/>
    </row>
    <row r="885">
      <c r="D885" s="55" t="n"/>
      <c r="F885" s="51" t="n"/>
    </row>
    <row r="886">
      <c r="D886" s="55" t="n"/>
      <c r="F886" s="51" t="n"/>
    </row>
    <row r="887">
      <c r="D887" s="55" t="n"/>
      <c r="F887" s="51" t="n"/>
    </row>
    <row r="888">
      <c r="D888" s="55" t="n"/>
      <c r="F888" s="51" t="n"/>
    </row>
    <row r="889">
      <c r="D889" s="55" t="n"/>
      <c r="F889" s="51" t="n"/>
    </row>
    <row r="890">
      <c r="D890" s="55" t="n"/>
      <c r="F890" s="51" t="n"/>
    </row>
    <row r="891">
      <c r="D891" s="55" t="n"/>
      <c r="F891" s="51" t="n"/>
    </row>
    <row r="892">
      <c r="D892" s="55" t="n"/>
      <c r="F892" s="51" t="n"/>
    </row>
    <row r="893">
      <c r="D893" s="55" t="n"/>
      <c r="F893" s="51" t="n"/>
    </row>
    <row r="894">
      <c r="D894" s="55" t="n"/>
      <c r="F894" s="51" t="n"/>
    </row>
    <row r="895">
      <c r="D895" s="55" t="n"/>
      <c r="F895" s="51" t="n"/>
    </row>
    <row r="896">
      <c r="D896" s="55" t="n"/>
      <c r="F896" s="51" t="n"/>
    </row>
    <row r="897">
      <c r="D897" s="55" t="n"/>
      <c r="F897" s="51" t="n"/>
    </row>
    <row r="898">
      <c r="D898" s="55" t="n"/>
      <c r="F898" s="51" t="n"/>
    </row>
    <row r="899">
      <c r="D899" s="55" t="n"/>
      <c r="F899" s="51" t="n"/>
    </row>
    <row r="900">
      <c r="D900" s="55" t="n"/>
      <c r="F900" s="51" t="n"/>
    </row>
    <row r="901">
      <c r="D901" s="55" t="n"/>
      <c r="F901" s="51" t="n"/>
    </row>
    <row r="902">
      <c r="D902" s="55" t="n"/>
      <c r="F902" s="51" t="n"/>
    </row>
    <row r="903">
      <c r="D903" s="55" t="n"/>
      <c r="F903" s="51" t="n"/>
    </row>
    <row r="904">
      <c r="D904" s="55" t="n"/>
      <c r="F904" s="51" t="n"/>
    </row>
    <row r="905">
      <c r="D905" s="55" t="n"/>
      <c r="F905" s="51" t="n"/>
    </row>
    <row r="906">
      <c r="D906" s="55" t="n"/>
      <c r="F906" s="51" t="n"/>
    </row>
    <row r="907">
      <c r="D907" s="55" t="n"/>
      <c r="F907" s="51" t="n"/>
    </row>
    <row r="908">
      <c r="D908" s="55" t="n"/>
      <c r="F908" s="51" t="n"/>
    </row>
    <row r="909">
      <c r="D909" s="55" t="n"/>
      <c r="F909" s="51" t="n"/>
    </row>
    <row r="910">
      <c r="D910" s="55" t="n"/>
      <c r="F910" s="51" t="n"/>
    </row>
    <row r="911">
      <c r="D911" s="55" t="n"/>
      <c r="F911" s="51" t="n"/>
    </row>
    <row r="912">
      <c r="D912" s="55" t="n"/>
      <c r="F912" s="51" t="n"/>
    </row>
    <row r="913">
      <c r="D913" s="55" t="n"/>
      <c r="F913" s="51" t="n"/>
    </row>
    <row r="914">
      <c r="D914" s="55" t="n"/>
      <c r="F914" s="51" t="n"/>
    </row>
    <row r="915">
      <c r="D915" s="55" t="n"/>
      <c r="F915" s="51" t="n"/>
    </row>
    <row r="916">
      <c r="D916" s="55" t="n"/>
      <c r="F916" s="51" t="n"/>
    </row>
    <row r="917">
      <c r="D917" s="55" t="n"/>
      <c r="F917" s="51" t="n"/>
    </row>
    <row r="918">
      <c r="D918" s="55" t="n"/>
      <c r="F918" s="51" t="n"/>
    </row>
    <row r="919">
      <c r="D919" s="55" t="n"/>
      <c r="F919" s="51" t="n"/>
    </row>
    <row r="920">
      <c r="D920" s="55" t="n"/>
      <c r="F920" s="51" t="n"/>
    </row>
    <row r="921">
      <c r="D921" s="55" t="n"/>
      <c r="F921" s="51" t="n"/>
    </row>
    <row r="922">
      <c r="D922" s="55" t="n"/>
      <c r="F922" s="51" t="n"/>
    </row>
    <row r="923">
      <c r="D923" s="55" t="n"/>
      <c r="F923" s="51" t="n"/>
    </row>
    <row r="924">
      <c r="D924" s="55" t="n"/>
      <c r="F924" s="51" t="n"/>
    </row>
    <row r="925">
      <c r="D925" s="55" t="n"/>
      <c r="F925" s="51" t="n"/>
    </row>
    <row r="926">
      <c r="D926" s="55" t="n"/>
      <c r="F926" s="51" t="n"/>
    </row>
    <row r="927">
      <c r="D927" s="55" t="n"/>
      <c r="F927" s="51" t="n"/>
    </row>
    <row r="928">
      <c r="D928" s="55" t="n"/>
      <c r="F928" s="51" t="n"/>
    </row>
    <row r="929">
      <c r="D929" s="55" t="n"/>
      <c r="F929" s="51" t="n"/>
    </row>
    <row r="930">
      <c r="D930" s="55" t="n"/>
      <c r="F930" s="51" t="n"/>
    </row>
    <row r="931">
      <c r="D931" s="55" t="n"/>
      <c r="F931" s="51" t="n"/>
    </row>
    <row r="932">
      <c r="D932" s="55" t="n"/>
      <c r="F932" s="51" t="n"/>
    </row>
    <row r="933">
      <c r="D933" s="55" t="n"/>
      <c r="F933" s="51" t="n"/>
    </row>
    <row r="934">
      <c r="D934" s="55" t="n"/>
      <c r="F934" s="51" t="n"/>
    </row>
    <row r="935">
      <c r="D935" s="55" t="n"/>
      <c r="F935" s="51" t="n"/>
    </row>
    <row r="936">
      <c r="D936" s="55" t="n"/>
      <c r="F936" s="51" t="n"/>
    </row>
    <row r="937">
      <c r="D937" s="55" t="n"/>
      <c r="F937" s="51" t="n"/>
    </row>
    <row r="938">
      <c r="D938" s="55" t="n"/>
      <c r="F938" s="51" t="n"/>
    </row>
    <row r="939">
      <c r="D939" s="55" t="n"/>
      <c r="F939" s="51" t="n"/>
    </row>
    <row r="940">
      <c r="D940" s="55" t="n"/>
      <c r="F940" s="51" t="n"/>
    </row>
    <row r="941">
      <c r="D941" s="55" t="n"/>
      <c r="F941" s="51" t="n"/>
    </row>
    <row r="942">
      <c r="D942" s="55" t="n"/>
      <c r="F942" s="51" t="n"/>
    </row>
    <row r="943">
      <c r="D943" s="55" t="n"/>
      <c r="F943" s="51" t="n"/>
    </row>
    <row r="944">
      <c r="D944" s="55" t="n"/>
      <c r="F944" s="51" t="n"/>
    </row>
    <row r="945">
      <c r="D945" s="55" t="n"/>
      <c r="F945" s="51" t="n"/>
    </row>
    <row r="946">
      <c r="D946" s="55" t="n"/>
      <c r="F946" s="51" t="n"/>
    </row>
    <row r="947">
      <c r="D947" s="55" t="n"/>
      <c r="F947" s="51" t="n"/>
    </row>
    <row r="948">
      <c r="D948" s="55" t="n"/>
      <c r="F948" s="51" t="n"/>
    </row>
    <row r="949">
      <c r="D949" s="55" t="n"/>
      <c r="F949" s="51" t="n"/>
    </row>
    <row r="950">
      <c r="D950" s="55" t="n"/>
      <c r="F950" s="51" t="n"/>
    </row>
    <row r="951">
      <c r="D951" s="55" t="n"/>
      <c r="F951" s="51" t="n"/>
    </row>
    <row r="952">
      <c r="D952" s="55" t="n"/>
      <c r="F952" s="51" t="n"/>
    </row>
    <row r="953">
      <c r="D953" s="55" t="n"/>
      <c r="F953" s="51" t="n"/>
    </row>
    <row r="954">
      <c r="D954" s="55" t="n"/>
      <c r="F954" s="51" t="n"/>
    </row>
    <row r="955">
      <c r="D955" s="55" t="n"/>
      <c r="F955" s="51" t="n"/>
    </row>
    <row r="956">
      <c r="D956" s="55" t="n"/>
      <c r="F956" s="51" t="n"/>
    </row>
    <row r="957">
      <c r="D957" s="55" t="n"/>
      <c r="F957" s="51" t="n"/>
    </row>
    <row r="958">
      <c r="D958" s="55" t="n"/>
      <c r="F958" s="51" t="n"/>
    </row>
    <row r="959">
      <c r="D959" s="55" t="n"/>
      <c r="F959" s="51" t="n"/>
    </row>
    <row r="960">
      <c r="D960" s="55" t="n"/>
      <c r="F960" s="51" t="n"/>
    </row>
    <row r="961">
      <c r="D961" s="55" t="n"/>
      <c r="F961" s="51" t="n"/>
    </row>
    <row r="962">
      <c r="D962" s="55" t="n"/>
      <c r="F962" s="51" t="n"/>
    </row>
    <row r="963">
      <c r="D963" s="55" t="n"/>
      <c r="F963" s="51" t="n"/>
    </row>
    <row r="964">
      <c r="D964" s="55" t="n"/>
      <c r="F964" s="51" t="n"/>
    </row>
    <row r="965">
      <c r="D965" s="55" t="n"/>
      <c r="F965" s="51" t="n"/>
    </row>
    <row r="966">
      <c r="D966" s="55" t="n"/>
      <c r="F966" s="51" t="n"/>
    </row>
    <row r="967">
      <c r="D967" s="55" t="n"/>
      <c r="F967" s="51" t="n"/>
    </row>
    <row r="968">
      <c r="D968" s="55" t="n"/>
      <c r="F968" s="51" t="n"/>
    </row>
    <row r="969">
      <c r="D969" s="55" t="n"/>
      <c r="F969" s="51" t="n"/>
    </row>
    <row r="970">
      <c r="D970" s="55" t="n"/>
      <c r="F970" s="51" t="n"/>
    </row>
    <row r="971">
      <c r="D971" s="55" t="n"/>
      <c r="F971" s="51" t="n"/>
    </row>
    <row r="972">
      <c r="D972" s="55" t="n"/>
      <c r="F972" s="51" t="n"/>
    </row>
    <row r="973">
      <c r="D973" s="55" t="n"/>
      <c r="F973" s="51" t="n"/>
    </row>
    <row r="974">
      <c r="D974" s="55" t="n"/>
      <c r="F974" s="51" t="n"/>
    </row>
    <row r="975">
      <c r="D975" s="55" t="n"/>
      <c r="F975" s="51" t="n"/>
    </row>
    <row r="976">
      <c r="D976" s="55" t="n"/>
      <c r="F976" s="51" t="n"/>
    </row>
    <row r="977">
      <c r="D977" s="55" t="n"/>
      <c r="F977" s="51" t="n"/>
    </row>
    <row r="978">
      <c r="D978" s="55" t="n"/>
      <c r="F978" s="51" t="n"/>
    </row>
    <row r="979">
      <c r="D979" s="55" t="n"/>
      <c r="F979" s="51" t="n"/>
    </row>
    <row r="980">
      <c r="D980" s="55" t="n"/>
      <c r="F980" s="51" t="n"/>
    </row>
    <row r="981">
      <c r="D981" s="55" t="n"/>
      <c r="F981" s="51" t="n"/>
    </row>
    <row r="982">
      <c r="D982" s="55" t="n"/>
      <c r="F982" s="51" t="n"/>
    </row>
    <row r="983">
      <c r="D983" s="55" t="n"/>
      <c r="F983" s="51" t="n"/>
    </row>
    <row r="984">
      <c r="D984" s="55" t="n"/>
      <c r="F984" s="51" t="n"/>
    </row>
    <row r="985">
      <c r="D985" s="55" t="n"/>
      <c r="F985" s="51" t="n"/>
    </row>
    <row r="986">
      <c r="D986" s="55" t="n"/>
      <c r="F986" s="51" t="n"/>
    </row>
    <row r="987">
      <c r="D987" s="55" t="n"/>
      <c r="F987" s="51" t="n"/>
    </row>
    <row r="988">
      <c r="D988" s="55" t="n"/>
      <c r="F988" s="51" t="n"/>
    </row>
    <row r="989">
      <c r="D989" s="55" t="n"/>
      <c r="F989" s="51" t="n"/>
    </row>
    <row r="990">
      <c r="D990" s="55" t="n"/>
      <c r="F990" s="51" t="n"/>
    </row>
    <row r="991">
      <c r="D991" s="55" t="n"/>
      <c r="F991" s="51" t="n"/>
    </row>
    <row r="992">
      <c r="D992" s="55" t="n"/>
      <c r="F992" s="51" t="n"/>
    </row>
    <row r="993">
      <c r="D993" s="55" t="n"/>
      <c r="F993" s="51" t="n"/>
    </row>
    <row r="994">
      <c r="D994" s="55" t="n"/>
      <c r="F994" s="51" t="n"/>
    </row>
    <row r="995">
      <c r="D995" s="55" t="n"/>
      <c r="F995" s="51" t="n"/>
    </row>
    <row r="996">
      <c r="D996" s="55" t="n"/>
      <c r="F996" s="51" t="n"/>
    </row>
    <row r="997">
      <c r="D997" s="55" t="n"/>
      <c r="F997" s="51" t="n"/>
    </row>
    <row r="998">
      <c r="D998" s="55" t="n"/>
      <c r="F998" s="51" t="n"/>
    </row>
    <row r="999">
      <c r="D999" s="55" t="n"/>
      <c r="F999" s="51" t="n"/>
    </row>
    <row r="1000">
      <c r="D1000" s="55" t="n"/>
      <c r="F1000" s="51" t="n"/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Sayfa15">
    <outlinePr summaryBelow="1" summaryRight="1"/>
    <pageSetUpPr fitToPage="1"/>
  </sheetPr>
  <dimension ref="A1:K40"/>
  <sheetViews>
    <sheetView showGridLines="0" zoomScale="80" zoomScaleNormal="80" workbookViewId="0">
      <selection activeCell="M13" sqref="M13"/>
    </sheetView>
  </sheetViews>
  <sheetFormatPr baseColWidth="8" defaultRowHeight="15"/>
  <cols>
    <col width="29.5703125" customWidth="1" style="164" min="1" max="1"/>
    <col width="8" customWidth="1" style="164" min="2" max="3"/>
    <col width="9.140625" customWidth="1" style="164" min="4" max="4"/>
    <col width="13" customWidth="1" style="164" min="5" max="6"/>
    <col width="8.5703125" customWidth="1" style="164" min="7" max="7"/>
    <col width="15.5703125" customWidth="1" style="164" min="8" max="8"/>
    <col width="11.85546875" customWidth="1" style="164" min="9" max="9"/>
    <col width="10.42578125" customWidth="1" style="164" min="10" max="10"/>
    <col width="15.5703125" customWidth="1" style="164" min="11" max="11"/>
  </cols>
  <sheetData>
    <row r="1" ht="27" customHeight="1" s="164">
      <c r="A1" s="151" t="n"/>
      <c r="B1" s="152" t="inlineStr">
        <is>
          <t>FATURA TASLAĞI</t>
        </is>
      </c>
    </row>
    <row r="2" ht="27" customHeight="1" s="164"/>
    <row r="3" ht="23.25" customHeight="1" s="164">
      <c r="B3" s="150" t="inlineStr">
        <is>
          <t>Müşteri</t>
        </is>
      </c>
      <c r="C3" s="261" t="n"/>
      <c r="D3" s="154" t="n"/>
      <c r="E3" s="264" t="n"/>
      <c r="F3" s="264" t="n"/>
      <c r="G3" s="261" t="n"/>
      <c r="H3" s="150" t="inlineStr">
        <is>
          <t>Fatura No</t>
        </is>
      </c>
      <c r="I3" s="261" t="n"/>
      <c r="J3" s="156" t="inlineStr">
        <is>
          <t>FTR-2026-0001</t>
        </is>
      </c>
      <c r="K3" s="261" t="n"/>
    </row>
    <row r="4" ht="23.25" customHeight="1" s="164">
      <c r="B4" s="150" t="inlineStr">
        <is>
          <t>Yetkili</t>
        </is>
      </c>
      <c r="C4" s="261" t="n"/>
      <c r="D4" s="154" t="n"/>
      <c r="E4" s="264" t="n"/>
      <c r="F4" s="264" t="n"/>
      <c r="G4" s="261" t="n"/>
      <c r="H4" s="150" t="inlineStr">
        <is>
          <t>Tarih</t>
        </is>
      </c>
      <c r="I4" s="261" t="n"/>
      <c r="J4" s="284" t="n">
        <v>46292</v>
      </c>
      <c r="K4" s="261" t="n"/>
    </row>
    <row r="5" ht="23.25" customHeight="1" s="164">
      <c r="B5" s="150" t="inlineStr">
        <is>
          <t>Geçerlilik Süresi</t>
        </is>
      </c>
      <c r="C5" s="261" t="n"/>
      <c r="D5" s="154" t="inlineStr">
        <is>
          <t>30 Gün</t>
        </is>
      </c>
      <c r="E5" s="264" t="n"/>
      <c r="F5" s="264" t="n"/>
      <c r="G5" s="261" t="n"/>
      <c r="H5" s="150" t="inlineStr">
        <is>
          <t>Geçerlilik Tarihi</t>
        </is>
      </c>
      <c r="I5" s="261" t="n"/>
      <c r="J5" s="266" t="n">
        <v>46322</v>
      </c>
      <c r="K5" s="261" t="n"/>
    </row>
    <row r="6" ht="24" customHeight="1" s="164">
      <c r="A6" s="110" t="inlineStr">
        <is>
          <t>TEKLİF KALEMLERİ</t>
        </is>
      </c>
    </row>
    <row r="7" ht="33.75" customHeight="1" s="164">
      <c r="A7" s="32" t="inlineStr">
        <is>
          <t>Ürün</t>
        </is>
      </c>
      <c r="B7" s="32" t="inlineStr">
        <is>
          <t>BAR</t>
        </is>
      </c>
      <c r="C7" s="32" t="inlineStr">
        <is>
          <t>Gaz Miktarı (m³)</t>
        </is>
      </c>
      <c r="D7" s="32" t="inlineStr">
        <is>
          <t>Miktar</t>
        </is>
      </c>
      <c r="E7" s="32" t="inlineStr">
        <is>
          <t>Birim Fiyat</t>
        </is>
      </c>
      <c r="F7" s="32" t="inlineStr">
        <is>
          <t>Toplam</t>
        </is>
      </c>
      <c r="G7" s="32" t="inlineStr">
        <is>
          <t>KDV %</t>
        </is>
      </c>
      <c r="H7" s="32" t="inlineStr">
        <is>
          <t>KDV Dahil Toplam</t>
        </is>
      </c>
      <c r="I7" s="32" t="inlineStr">
        <is>
          <t>Para Birimi</t>
        </is>
      </c>
      <c r="J7" s="32" t="inlineStr">
        <is>
          <t>Kur</t>
        </is>
      </c>
      <c r="K7" s="32" t="inlineStr">
        <is>
          <t>KDV Dahil TL</t>
        </is>
      </c>
    </row>
    <row r="8" ht="20.25" customHeight="1" s="164">
      <c r="A8" s="33" t="inlineStr">
        <is>
          <t>Y.S. AZOT GAZI</t>
        </is>
      </c>
      <c r="B8" s="34" t="n">
        <v>230</v>
      </c>
      <c r="C8" s="34" t="n">
        <v>10.5</v>
      </c>
      <c r="D8" s="35" t="n">
        <v>1</v>
      </c>
      <c r="E8" s="35" t="n">
        <v>100</v>
      </c>
      <c r="F8" s="36" t="n">
        <v>1050</v>
      </c>
      <c r="G8" s="37" t="n">
        <v>0.2</v>
      </c>
      <c r="H8" s="36" t="n">
        <v>1260</v>
      </c>
      <c r="I8" s="35" t="inlineStr">
        <is>
          <t>TRY</t>
        </is>
      </c>
      <c r="J8" s="38" t="n">
        <v>1</v>
      </c>
      <c r="K8" s="36" t="n">
        <v>1260</v>
      </c>
    </row>
    <row r="9" ht="20.25" customHeight="1" s="164">
      <c r="A9" s="33" t="inlineStr">
        <is>
          <t>Y.S. ARGON GAZI</t>
        </is>
      </c>
      <c r="B9" s="34" t="n">
        <v>230</v>
      </c>
      <c r="C9" s="34" t="n">
        <v>12.06</v>
      </c>
      <c r="D9" s="35" t="n">
        <v>2</v>
      </c>
      <c r="E9" s="35" t="n">
        <v>1000</v>
      </c>
      <c r="F9" s="36" t="n">
        <v>24120</v>
      </c>
      <c r="G9" s="37" t="n">
        <v>0.2</v>
      </c>
      <c r="H9" s="36" t="n">
        <v>28944</v>
      </c>
      <c r="I9" s="35" t="inlineStr">
        <is>
          <t>TRY</t>
        </is>
      </c>
      <c r="J9" s="38" t="n">
        <v>1</v>
      </c>
      <c r="K9" s="36" t="n">
        <v>28944</v>
      </c>
    </row>
    <row r="10" ht="20.25" customHeight="1" s="164">
      <c r="A10" s="33" t="inlineStr">
        <is>
          <t>Y.S. HELYUM GAZI</t>
        </is>
      </c>
      <c r="B10" s="34" t="n">
        <v>200</v>
      </c>
      <c r="C10" s="34" t="n">
        <v>9.199999999999999</v>
      </c>
      <c r="D10" s="35" t="n">
        <v>1</v>
      </c>
      <c r="E10" s="35" t="n">
        <v>150</v>
      </c>
      <c r="F10" s="36" t="n">
        <v>1380</v>
      </c>
      <c r="G10" s="37" t="n">
        <v>0.2</v>
      </c>
      <c r="H10" s="36" t="n">
        <v>1656</v>
      </c>
      <c r="I10" s="35" t="inlineStr">
        <is>
          <t>USD</t>
        </is>
      </c>
      <c r="J10" s="38" t="n">
        <v>50.3378</v>
      </c>
      <c r="K10" s="36" t="n">
        <v>83359.3968</v>
      </c>
    </row>
    <row r="11" ht="20.25" customHeight="1" s="164">
      <c r="A11" s="33" t="inlineStr">
        <is>
          <t>Y.S. HIDROJEN GAZI</t>
        </is>
      </c>
      <c r="B11" s="34" t="n">
        <v>200</v>
      </c>
      <c r="C11" s="34" t="n">
        <v>8.9</v>
      </c>
      <c r="D11" s="35" t="n">
        <v>1</v>
      </c>
      <c r="E11" s="35" t="n">
        <v>20</v>
      </c>
      <c r="F11" s="36" t="n">
        <v>178</v>
      </c>
      <c r="G11" s="37" t="n">
        <v>0.2</v>
      </c>
      <c r="H11" s="36" t="n">
        <v>213.6</v>
      </c>
      <c r="I11" s="35" t="inlineStr">
        <is>
          <t>EUR</t>
        </is>
      </c>
      <c r="J11" s="38" t="n">
        <v>57.3448</v>
      </c>
      <c r="K11" s="36" t="n">
        <v>12248.84928</v>
      </c>
    </row>
    <row r="12" ht="20.25" customHeight="1" s="164">
      <c r="A12" s="33" t="n"/>
      <c r="B12" s="34" t="n"/>
      <c r="C12" s="34" t="n"/>
      <c r="D12" s="35" t="n"/>
      <c r="E12" s="35" t="n"/>
      <c r="F12" s="36" t="n"/>
      <c r="G12" s="37" t="n">
        <v>0.2</v>
      </c>
      <c r="H12" s="36" t="n"/>
      <c r="I12" s="35" t="inlineStr">
        <is>
          <t>TRY</t>
        </is>
      </c>
      <c r="J12" s="38" t="n">
        <v>1</v>
      </c>
      <c r="K12" s="36" t="n"/>
    </row>
    <row r="13" ht="20.25" customHeight="1" s="164">
      <c r="A13" s="33" t="n"/>
      <c r="B13" s="34" t="n"/>
      <c r="C13" s="34" t="n"/>
      <c r="D13" s="35" t="n"/>
      <c r="E13" s="35" t="n"/>
      <c r="F13" s="36" t="n"/>
      <c r="G13" s="37" t="n">
        <v>0.2</v>
      </c>
      <c r="H13" s="36" t="n"/>
      <c r="I13" s="35" t="inlineStr">
        <is>
          <t>TRY</t>
        </is>
      </c>
      <c r="J13" s="38" t="n">
        <v>1</v>
      </c>
      <c r="K13" s="36" t="n"/>
    </row>
    <row r="14" ht="20.25" customHeight="1" s="164">
      <c r="A14" s="33" t="n"/>
      <c r="B14" s="34" t="n"/>
      <c r="C14" s="34" t="n"/>
      <c r="D14" s="35" t="n"/>
      <c r="E14" s="35" t="n"/>
      <c r="F14" s="36" t="n"/>
      <c r="G14" s="37" t="n">
        <v>0.2</v>
      </c>
      <c r="H14" s="36" t="n"/>
      <c r="I14" s="35" t="inlineStr">
        <is>
          <t>TRY</t>
        </is>
      </c>
      <c r="J14" s="38" t="n">
        <v>1</v>
      </c>
      <c r="K14" s="36" t="n"/>
    </row>
    <row r="15" ht="20.25" customHeight="1" s="164">
      <c r="A15" s="33" t="n"/>
      <c r="B15" s="34" t="n"/>
      <c r="C15" s="34" t="n"/>
      <c r="D15" s="35" t="n"/>
      <c r="E15" s="35" t="n"/>
      <c r="F15" s="36" t="n"/>
      <c r="G15" s="37" t="n">
        <v>0.2</v>
      </c>
      <c r="H15" s="36" t="n"/>
      <c r="I15" s="35" t="inlineStr">
        <is>
          <t>TRY</t>
        </is>
      </c>
      <c r="J15" s="38" t="n">
        <v>1</v>
      </c>
      <c r="K15" s="36" t="n"/>
    </row>
    <row r="16" ht="20.25" customHeight="1" s="164">
      <c r="A16" s="33" t="n"/>
      <c r="B16" s="34" t="n"/>
      <c r="C16" s="34" t="n"/>
      <c r="D16" s="35" t="n"/>
      <c r="E16" s="35" t="n"/>
      <c r="F16" s="36" t="n"/>
      <c r="G16" s="37" t="n">
        <v>0.2</v>
      </c>
      <c r="H16" s="36" t="n"/>
      <c r="I16" s="35" t="inlineStr">
        <is>
          <t>TRY</t>
        </is>
      </c>
      <c r="J16" s="38" t="n">
        <v>1</v>
      </c>
      <c r="K16" s="36" t="n"/>
    </row>
    <row r="17" ht="20.25" customHeight="1" s="164">
      <c r="A17" s="33" t="n"/>
      <c r="B17" s="34" t="n"/>
      <c r="C17" s="34" t="n"/>
      <c r="D17" s="35" t="n"/>
      <c r="E17" s="35" t="n"/>
      <c r="F17" s="36" t="n"/>
      <c r="G17" s="37" t="n">
        <v>0.2</v>
      </c>
      <c r="H17" s="36" t="n"/>
      <c r="I17" s="35" t="inlineStr">
        <is>
          <t>TRY</t>
        </is>
      </c>
      <c r="J17" s="38" t="n">
        <v>1</v>
      </c>
      <c r="K17" s="36" t="n"/>
    </row>
    <row r="18" ht="20.25" customHeight="1" s="164">
      <c r="A18" s="33" t="n"/>
      <c r="B18" s="34" t="n"/>
      <c r="C18" s="34" t="n"/>
      <c r="D18" s="35" t="n"/>
      <c r="E18" s="35" t="n"/>
      <c r="F18" s="36" t="n"/>
      <c r="G18" s="37" t="n">
        <v>0.2</v>
      </c>
      <c r="H18" s="36" t="n"/>
      <c r="I18" s="35" t="inlineStr">
        <is>
          <t>TRY</t>
        </is>
      </c>
      <c r="J18" s="38" t="n">
        <v>1</v>
      </c>
      <c r="K18" s="36" t="n"/>
    </row>
    <row r="19" ht="20.25" customHeight="1" s="164">
      <c r="A19" s="33" t="n"/>
      <c r="B19" s="34" t="n"/>
      <c r="C19" s="34" t="n"/>
      <c r="D19" s="35" t="n"/>
      <c r="E19" s="35" t="n"/>
      <c r="F19" s="36" t="n"/>
      <c r="G19" s="37" t="n">
        <v>0.2</v>
      </c>
      <c r="H19" s="36" t="n"/>
      <c r="I19" s="35" t="inlineStr">
        <is>
          <t>TRY</t>
        </is>
      </c>
      <c r="J19" s="38" t="n">
        <v>1</v>
      </c>
      <c r="K19" s="36" t="n"/>
    </row>
    <row r="20" ht="20.25" customHeight="1" s="164">
      <c r="A20" s="33" t="n"/>
      <c r="B20" s="34" t="n"/>
      <c r="C20" s="34" t="n"/>
      <c r="D20" s="35" t="n"/>
      <c r="E20" s="35" t="n"/>
      <c r="F20" s="36" t="n"/>
      <c r="G20" s="37" t="n">
        <v>0.2</v>
      </c>
      <c r="H20" s="36" t="n"/>
      <c r="I20" s="35" t="inlineStr">
        <is>
          <t>TRY</t>
        </is>
      </c>
      <c r="J20" s="38" t="n">
        <v>1</v>
      </c>
      <c r="K20" s="36" t="n"/>
    </row>
    <row r="21" ht="20.25" customHeight="1" s="164">
      <c r="A21" s="33" t="n"/>
      <c r="B21" s="34" t="n"/>
      <c r="C21" s="34" t="n"/>
      <c r="D21" s="35" t="n"/>
      <c r="E21" s="35" t="n"/>
      <c r="F21" s="36" t="n"/>
      <c r="G21" s="37" t="n">
        <v>0.2</v>
      </c>
      <c r="H21" s="36" t="n"/>
      <c r="I21" s="35" t="inlineStr">
        <is>
          <t>TRY</t>
        </is>
      </c>
      <c r="J21" s="38" t="n">
        <v>1</v>
      </c>
      <c r="K21" s="36" t="n"/>
    </row>
    <row r="22" ht="20.25" customHeight="1" s="164">
      <c r="A22" s="33" t="n"/>
      <c r="B22" s="34" t="n"/>
      <c r="C22" s="34" t="n"/>
      <c r="D22" s="35" t="n"/>
      <c r="E22" s="35" t="n"/>
      <c r="F22" s="36" t="n"/>
      <c r="G22" s="37" t="n">
        <v>0.2</v>
      </c>
      <c r="H22" s="36" t="n"/>
      <c r="I22" s="35" t="inlineStr">
        <is>
          <t>TRY</t>
        </is>
      </c>
      <c r="J22" s="38" t="n">
        <v>1</v>
      </c>
      <c r="K22" s="36" t="n"/>
    </row>
    <row r="23" ht="20.25" customHeight="1" s="164">
      <c r="A23" s="33" t="n"/>
      <c r="B23" s="34" t="n"/>
      <c r="C23" s="34" t="n"/>
      <c r="D23" s="35" t="n"/>
      <c r="E23" s="35" t="n"/>
      <c r="F23" s="36" t="n"/>
      <c r="G23" s="37" t="n">
        <v>0.2</v>
      </c>
      <c r="H23" s="36" t="n"/>
      <c r="I23" s="35" t="inlineStr">
        <is>
          <t>TRY</t>
        </is>
      </c>
      <c r="J23" s="38" t="n">
        <v>1</v>
      </c>
      <c r="K23" s="36" t="n"/>
    </row>
    <row r="24" ht="20.25" customHeight="1" s="164">
      <c r="A24" s="33" t="n"/>
      <c r="B24" s="34" t="n"/>
      <c r="C24" s="34" t="n"/>
      <c r="D24" s="35" t="n"/>
      <c r="E24" s="35" t="n"/>
      <c r="F24" s="36" t="n"/>
      <c r="G24" s="37" t="n">
        <v>0.2</v>
      </c>
      <c r="H24" s="36" t="n"/>
      <c r="I24" s="35" t="inlineStr">
        <is>
          <t>TRY</t>
        </is>
      </c>
      <c r="J24" s="38" t="n">
        <v>1</v>
      </c>
      <c r="K24" s="36" t="n"/>
    </row>
    <row r="25" ht="20.25" customHeight="1" s="164">
      <c r="A25" s="33" t="n"/>
      <c r="B25" s="34" t="n"/>
      <c r="C25" s="34" t="n"/>
      <c r="D25" s="35" t="n"/>
      <c r="E25" s="35" t="n"/>
      <c r="F25" s="36" t="n"/>
      <c r="G25" s="37" t="n">
        <v>0.2</v>
      </c>
      <c r="H25" s="36" t="n"/>
      <c r="I25" s="35" t="inlineStr">
        <is>
          <t>TRY</t>
        </is>
      </c>
      <c r="J25" s="38" t="n">
        <v>1</v>
      </c>
      <c r="K25" s="36" t="n"/>
    </row>
    <row r="26" ht="20.25" customHeight="1" s="164">
      <c r="A26" s="33" t="n"/>
      <c r="B26" s="34" t="n"/>
      <c r="C26" s="34" t="n"/>
      <c r="D26" s="35" t="n"/>
      <c r="E26" s="35" t="n"/>
      <c r="F26" s="36" t="n"/>
      <c r="G26" s="37" t="n">
        <v>0.2</v>
      </c>
      <c r="H26" s="36" t="n"/>
      <c r="I26" s="35" t="inlineStr">
        <is>
          <t>TRY</t>
        </is>
      </c>
      <c r="J26" s="38" t="n">
        <v>1</v>
      </c>
      <c r="K26" s="36" t="n"/>
    </row>
    <row r="27" ht="20.25" customHeight="1" s="164">
      <c r="A27" s="33" t="n"/>
      <c r="B27" s="34" t="n"/>
      <c r="C27" s="34" t="n"/>
      <c r="D27" s="35" t="n"/>
      <c r="E27" s="35" t="n"/>
      <c r="F27" s="36" t="n"/>
      <c r="G27" s="37" t="n">
        <v>0.2</v>
      </c>
      <c r="H27" s="36" t="n"/>
      <c r="I27" s="35" t="inlineStr">
        <is>
          <t>TRY</t>
        </is>
      </c>
      <c r="J27" s="38" t="n">
        <v>1</v>
      </c>
      <c r="K27" s="36" t="n"/>
    </row>
    <row r="28" ht="20.25" customHeight="1" s="164">
      <c r="A28" s="33" t="n"/>
      <c r="B28" s="34" t="n"/>
      <c r="C28" s="34" t="n"/>
      <c r="D28" s="35" t="n"/>
      <c r="E28" s="35" t="n"/>
      <c r="F28" s="36" t="n"/>
      <c r="G28" s="37" t="n">
        <v>0.2</v>
      </c>
      <c r="H28" s="36" t="n"/>
      <c r="I28" s="35" t="inlineStr">
        <is>
          <t>TRY</t>
        </is>
      </c>
      <c r="J28" s="38" t="n">
        <v>1</v>
      </c>
      <c r="K28" s="36" t="n"/>
    </row>
    <row r="29" ht="20.25" customHeight="1" s="164">
      <c r="A29" s="33" t="n"/>
      <c r="B29" s="34" t="n"/>
      <c r="C29" s="34" t="n"/>
      <c r="D29" s="35" t="n"/>
      <c r="E29" s="35" t="n"/>
      <c r="F29" s="36" t="n"/>
      <c r="G29" s="37" t="n">
        <v>0.2</v>
      </c>
      <c r="H29" s="36" t="n"/>
      <c r="I29" s="35" t="inlineStr">
        <is>
          <t>TRY</t>
        </is>
      </c>
      <c r="J29" s="38" t="n">
        <v>1</v>
      </c>
      <c r="K29" s="36" t="n"/>
    </row>
    <row r="30" ht="20.25" customHeight="1" s="164">
      <c r="A30" s="33" t="n"/>
      <c r="B30" s="34" t="n"/>
      <c r="C30" s="34" t="n"/>
      <c r="D30" s="35" t="n"/>
      <c r="E30" s="35" t="n"/>
      <c r="F30" s="36" t="n"/>
      <c r="G30" s="37" t="n">
        <v>0.2</v>
      </c>
      <c r="H30" s="36" t="n"/>
      <c r="I30" s="35" t="inlineStr">
        <is>
          <t>TRY</t>
        </is>
      </c>
      <c r="J30" s="38" t="n">
        <v>1</v>
      </c>
      <c r="K30" s="36" t="n"/>
    </row>
    <row r="31" ht="21.75" customHeight="1" s="164">
      <c r="A31" s="141" t="n"/>
      <c r="G31" s="26" t="n"/>
      <c r="H31" s="143" t="inlineStr">
        <is>
          <t>Ara Toplam (TL)</t>
        </is>
      </c>
      <c r="I31" s="267" t="n"/>
      <c r="J31" s="268" t="n"/>
      <c r="K31" s="31" t="n">
        <v>104843.5384</v>
      </c>
    </row>
    <row r="32" ht="21.75" customHeight="1" s="164">
      <c r="G32" s="26" t="n"/>
      <c r="H32" s="111" t="inlineStr">
        <is>
          <t>KDV (TL)</t>
        </is>
      </c>
      <c r="I32" s="269" t="n"/>
      <c r="J32" s="270" t="n"/>
      <c r="K32" s="29" t="n">
        <v>20968.70768</v>
      </c>
    </row>
    <row r="33" ht="21.75" customHeight="1" s="164">
      <c r="G33" s="26" t="n"/>
      <c r="H33" s="138" t="inlineStr">
        <is>
          <t>GENEL TOPLAM (TL)</t>
        </is>
      </c>
      <c r="I33" s="271" t="n"/>
      <c r="J33" s="272" t="n"/>
      <c r="K33" s="30" t="n">
        <v>125812.24608</v>
      </c>
    </row>
    <row r="34" ht="24" customHeight="1" s="164">
      <c r="A34" s="137" t="inlineStr">
        <is>
          <t>NOTLAR</t>
        </is>
      </c>
      <c r="B34" s="269" t="n"/>
      <c r="C34" s="269" t="n"/>
      <c r="D34" s="269" t="n"/>
      <c r="E34" s="269" t="n"/>
      <c r="F34" s="269" t="n"/>
      <c r="G34" s="27" t="n"/>
      <c r="H34" s="125" t="inlineStr">
        <is>
          <t>KAŞE VE İMZA</t>
        </is>
      </c>
      <c r="I34" s="269" t="n"/>
      <c r="J34" s="269" t="n"/>
      <c r="K34" s="270" t="n"/>
    </row>
    <row r="35" ht="24" customHeight="1" s="164">
      <c r="A35" s="159" t="inlineStr">
        <is>
          <t>Teklife ilişkin açıklamalarınızı buraya yazınız.</t>
        </is>
      </c>
      <c r="B35" s="271" t="n"/>
      <c r="C35" s="271" t="n"/>
      <c r="D35" s="271" t="n"/>
      <c r="E35" s="271" t="n"/>
      <c r="F35" s="285" t="n"/>
      <c r="G35" s="28" t="n"/>
      <c r="H35" s="116" t="n"/>
      <c r="I35" s="271" t="n"/>
      <c r="J35" s="271" t="n"/>
      <c r="K35" s="272" t="n"/>
    </row>
    <row r="36" ht="24" customHeight="1" s="164">
      <c r="A36" s="278" t="n"/>
      <c r="F36" s="286" t="n"/>
      <c r="G36" s="28" t="n"/>
      <c r="H36" s="278" t="n"/>
      <c r="K36" s="279" t="n"/>
    </row>
    <row r="37" ht="24" customHeight="1" s="164">
      <c r="A37" s="278" t="n"/>
      <c r="F37" s="286" t="n"/>
      <c r="G37" s="28" t="n"/>
      <c r="H37" s="278" t="n"/>
      <c r="K37" s="279" t="n"/>
    </row>
    <row r="38" ht="24" customHeight="1" s="164">
      <c r="A38" s="278" t="n"/>
      <c r="F38" s="286" t="n"/>
      <c r="G38" s="28" t="n"/>
      <c r="H38" s="278" t="n"/>
      <c r="K38" s="279" t="n"/>
    </row>
    <row r="39" ht="24" customHeight="1" s="164">
      <c r="A39" s="283" t="n"/>
      <c r="B39" s="267" t="n"/>
      <c r="C39" s="267" t="n"/>
      <c r="D39" s="267" t="n"/>
      <c r="E39" s="267" t="n"/>
      <c r="F39" s="287" t="n"/>
      <c r="G39" s="28" t="n"/>
      <c r="H39" s="283" t="n"/>
      <c r="I39" s="267" t="n"/>
      <c r="J39" s="267" t="n"/>
      <c r="K39" s="268" t="n"/>
    </row>
    <row r="40" ht="20.25" customHeight="1" s="164">
      <c r="A40" s="114" t="inlineStr">
        <is>
          <t>Birim fiyatlar seçilen para birimindedir. TL tutarlar, Kur Bilgisi sayfasındaki İş Bankası döviz satış kuru üzerinden hesaplanır.</t>
        </is>
      </c>
    </row>
    <row r="41" ht="5.25" customHeight="1" s="164"/>
  </sheetData>
  <mergeCells count="24">
    <mergeCell ref="D3:G3"/>
    <mergeCell ref="J5:K5"/>
    <mergeCell ref="B3:C3"/>
    <mergeCell ref="H4:I4"/>
    <mergeCell ref="D5:G5"/>
    <mergeCell ref="A6:K6"/>
    <mergeCell ref="H32:J32"/>
    <mergeCell ref="B1:K2"/>
    <mergeCell ref="H33:J33"/>
    <mergeCell ref="J4:K4"/>
    <mergeCell ref="H35:K39"/>
    <mergeCell ref="H34:K34"/>
    <mergeCell ref="A35:F39"/>
    <mergeCell ref="A34:F34"/>
    <mergeCell ref="A40:K40"/>
    <mergeCell ref="A1:A5"/>
    <mergeCell ref="H3:I3"/>
    <mergeCell ref="J3:K3"/>
    <mergeCell ref="A31:F33"/>
    <mergeCell ref="B5:C5"/>
    <mergeCell ref="H31:J31"/>
    <mergeCell ref="H5:I5"/>
    <mergeCell ref="B4:C4"/>
    <mergeCell ref="D4:G4"/>
  </mergeCells>
  <dataValidations count="6">
    <dataValidation sqref="D3:G3" showDropDown="0" showInputMessage="1" showErrorMessage="1" allowBlank="1" type="list">
      <formula1>MusteriListesi</formula1>
    </dataValidation>
    <dataValidation sqref="G8:G30" showDropDown="0" showInputMessage="1" showErrorMessage="1" allowBlank="1" errorTitle="Geçersiz KDV" error="KDV oranı %0 ile %100 arasında olmalıdır." type="decimal">
      <formula1>0</formula1>
      <formula2>1</formula2>
    </dataValidation>
    <dataValidation sqref="E8:E30" showDropDown="0" showInputMessage="1" showErrorMessage="1" allowBlank="1" errorTitle="Geçersiz fiyat" error="Birim fiyat 0 veya daha büyük olmalıdır." type="decimal" operator="greaterThanOrEqual">
      <formula1>0</formula1>
    </dataValidation>
    <dataValidation sqref="D8:D30" showDropDown="0" showInputMessage="1" showErrorMessage="1" allowBlank="1" errorTitle="Geçersiz miktar" error="Miktar 1 veya daha büyük tam sayı olmalıdır." type="whole" operator="greaterThanOrEqual">
      <formula1>1</formula1>
    </dataValidation>
    <dataValidation sqref="A8:A30" showDropDown="0" showInputMessage="1" showErrorMessage="1" allowBlank="1" errorTitle="Geçersiz ürün" error="Lütfen listeden bir ürün seçin." promptTitle="Ürün seçimi" prompt="Açılır listeden ürün seçin." type="list">
      <formula1>UrunListesi</formula1>
    </dataValidation>
    <dataValidation sqref="I8:I30" showDropDown="0" showInputMessage="1" showErrorMessage="1" allowBlank="1" type="list">
      <formula1>"TRY,USD,EUR,GBP"</formula1>
    </dataValidation>
  </dataValidations>
  <printOptions horizontalCentered="1" verticalCentered="1" gridLinesSet="0"/>
  <pageMargins left="0.2362204724409449" right="0.2362204724409449" top="0.2362204724409449" bottom="0.2362204724409449" header="0" footer="0"/>
  <pageSetup orientation="portrait" paperSize="9" scale="70" firstPageNumber="0" horizontalDpi="0" verticalDpi="0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ayfa3">
    <outlinePr summaryBelow="1" summaryRight="1"/>
    <pageSetUpPr/>
  </sheetPr>
  <dimension ref="A1:J30"/>
  <sheetViews>
    <sheetView showGridLines="0" workbookViewId="0">
      <selection activeCell="Q6" sqref="Q6"/>
    </sheetView>
  </sheetViews>
  <sheetFormatPr baseColWidth="8" defaultRowHeight="15"/>
  <cols>
    <col width="41" customWidth="1" style="164" min="1" max="1"/>
    <col width="15.5703125" customWidth="1" style="164" min="2" max="3"/>
    <col width="3.42578125" customWidth="1" style="164" min="4" max="4"/>
    <col width="13.7109375" customWidth="1" style="164" min="5" max="10"/>
  </cols>
  <sheetData>
    <row r="1" ht="27" customHeight="1" s="164">
      <c r="A1" s="163" t="inlineStr">
        <is>
          <t>ÜRÜN PORTFÖYÜ VE TEKLİF ÖZETİ</t>
        </is>
      </c>
    </row>
    <row r="2" ht="27" customHeight="1" s="164"/>
    <row r="3" ht="21" customHeight="1" s="164">
      <c r="A3" s="169" t="inlineStr">
        <is>
          <t>Basınç, gaz kapasitesi ve mevcut teklif görünümü</t>
        </is>
      </c>
    </row>
    <row r="4">
      <c r="A4" s="1" t="n"/>
      <c r="B4" s="1" t="n"/>
      <c r="C4" s="1" t="n"/>
      <c r="D4" s="1" t="n"/>
      <c r="E4" s="1" t="n"/>
      <c r="F4" s="1" t="n"/>
      <c r="G4" s="1" t="n"/>
      <c r="H4" s="1" t="n"/>
      <c r="I4" s="1" t="n"/>
      <c r="J4" s="1" t="n"/>
    </row>
    <row r="5" ht="24" customHeight="1" s="164">
      <c r="A5" s="170" t="inlineStr">
        <is>
          <t>Ürün Sayısı</t>
        </is>
      </c>
      <c r="C5" s="170" t="inlineStr">
        <is>
          <t>Ort. Gaz (m³)</t>
        </is>
      </c>
      <c r="E5" s="170" t="inlineStr">
        <is>
          <t>En Yüksek (m³)</t>
        </is>
      </c>
      <c r="G5" s="170" t="inlineStr">
        <is>
          <t>200 Bar Payı</t>
        </is>
      </c>
      <c r="H5" s="170" t="inlineStr">
        <is>
          <t>KDV Dahil Teklif</t>
        </is>
      </c>
      <c r="J5" s="1" t="n"/>
    </row>
    <row r="6" ht="24" customHeight="1" s="164">
      <c r="A6" s="171">
        <f>COUNTA(Urunler!A2:A11)</f>
        <v/>
      </c>
      <c r="C6" s="165">
        <f>AVERAGE(Urunler!C2:C11)</f>
        <v/>
      </c>
      <c r="E6" s="165">
        <f>MAX(Urunler!C2:C11)</f>
        <v/>
      </c>
      <c r="G6" s="172">
        <f>COUNTIF(Urunler!B2:B11,200)/COUNTA(Urunler!A2:A11)</f>
        <v/>
      </c>
      <c r="H6" s="167">
        <f>'Teklif Formu'!K33</f>
        <v/>
      </c>
      <c r="J6" s="1" t="n"/>
    </row>
    <row r="7" ht="24" customHeight="1" s="164">
      <c r="A7" s="166" t="n"/>
      <c r="B7" s="166" t="n"/>
      <c r="C7" s="166" t="n"/>
      <c r="D7" s="166" t="n"/>
      <c r="E7" s="166" t="n"/>
      <c r="F7" s="166" t="n"/>
      <c r="G7" s="166" t="n"/>
      <c r="H7" s="166" t="n"/>
      <c r="I7" s="166" t="n"/>
      <c r="J7" s="1" t="n"/>
    </row>
    <row r="8">
      <c r="A8" s="1" t="n"/>
      <c r="B8" s="1" t="n"/>
      <c r="C8" s="1" t="n"/>
      <c r="D8" s="1" t="n"/>
      <c r="E8" s="1" t="n"/>
      <c r="F8" s="1" t="n"/>
      <c r="G8" s="1" t="n"/>
      <c r="H8" s="1" t="n"/>
      <c r="I8" s="1" t="n"/>
      <c r="J8" s="1" t="n"/>
    </row>
    <row r="9">
      <c r="A9" s="1" t="n"/>
      <c r="B9" s="1" t="n"/>
      <c r="C9" s="1" t="n"/>
      <c r="D9" s="1" t="n"/>
      <c r="E9" s="1" t="n"/>
      <c r="F9" s="1" t="n"/>
      <c r="G9" s="1" t="n"/>
      <c r="H9" s="1" t="n"/>
      <c r="I9" s="1" t="n"/>
      <c r="J9" s="1" t="n"/>
    </row>
    <row r="10" ht="21.75" customHeight="1" s="164">
      <c r="A10" s="3" t="inlineStr">
        <is>
          <t>Ürün</t>
        </is>
      </c>
      <c r="B10" s="3" t="inlineStr">
        <is>
          <t>Basınç (bar)</t>
        </is>
      </c>
      <c r="C10" s="3" t="inlineStr">
        <is>
          <t>Gaz (m³)</t>
        </is>
      </c>
      <c r="D10" s="1" t="n"/>
      <c r="E10" s="1" t="n"/>
      <c r="F10" s="1" t="n"/>
      <c r="G10" s="1" t="n"/>
      <c r="H10" s="1" t="n"/>
      <c r="I10" s="1" t="n"/>
      <c r="J10" s="1" t="n"/>
    </row>
    <row r="11">
      <c r="A11" s="4">
        <f>Urunler!A2</f>
        <v/>
      </c>
      <c r="B11" s="5">
        <f>Urunler!B2</f>
        <v/>
      </c>
      <c r="C11" s="6">
        <f>Urunler!C2</f>
        <v/>
      </c>
      <c r="D11" s="1" t="n"/>
      <c r="E11" s="1" t="n"/>
      <c r="F11" s="1" t="n"/>
      <c r="G11" s="1" t="n"/>
      <c r="H11" s="1" t="n"/>
      <c r="I11" s="1" t="n"/>
      <c r="J11" s="1" t="n"/>
    </row>
    <row r="12">
      <c r="A12" s="4">
        <f>Urunler!A3</f>
        <v/>
      </c>
      <c r="B12" s="5">
        <f>Urunler!B3</f>
        <v/>
      </c>
      <c r="C12" s="6">
        <f>Urunler!C3</f>
        <v/>
      </c>
      <c r="D12" s="1" t="n"/>
      <c r="E12" s="1" t="n"/>
      <c r="F12" s="1" t="n"/>
      <c r="G12" s="1" t="n"/>
      <c r="H12" s="1" t="n"/>
      <c r="I12" s="1" t="n"/>
      <c r="J12" s="1" t="n"/>
    </row>
    <row r="13">
      <c r="A13" s="4">
        <f>Urunler!A4</f>
        <v/>
      </c>
      <c r="B13" s="5">
        <f>Urunler!B4</f>
        <v/>
      </c>
      <c r="C13" s="6">
        <f>Urunler!C4</f>
        <v/>
      </c>
      <c r="D13" s="1" t="n"/>
      <c r="E13" s="1" t="n"/>
      <c r="F13" s="1" t="n"/>
      <c r="G13" s="1" t="n"/>
      <c r="H13" s="1" t="n"/>
      <c r="I13" s="1" t="n"/>
      <c r="J13" s="1" t="n"/>
    </row>
    <row r="14">
      <c r="A14" s="4">
        <f>Urunler!A5</f>
        <v/>
      </c>
      <c r="B14" s="5">
        <f>Urunler!B5</f>
        <v/>
      </c>
      <c r="C14" s="6">
        <f>Urunler!C5</f>
        <v/>
      </c>
      <c r="D14" s="1" t="n"/>
      <c r="E14" s="1" t="n"/>
      <c r="F14" s="1" t="n"/>
      <c r="G14" s="1" t="n"/>
      <c r="H14" s="1" t="n"/>
      <c r="I14" s="1" t="n"/>
      <c r="J14" s="1" t="n"/>
    </row>
    <row r="15">
      <c r="A15" s="4">
        <f>Urunler!A6</f>
        <v/>
      </c>
      <c r="B15" s="5">
        <f>Urunler!B6</f>
        <v/>
      </c>
      <c r="C15" s="6">
        <f>Urunler!C6</f>
        <v/>
      </c>
      <c r="D15" s="1" t="n"/>
      <c r="E15" s="1" t="n"/>
      <c r="F15" s="1" t="n"/>
      <c r="G15" s="1" t="n"/>
      <c r="H15" s="1" t="n"/>
      <c r="I15" s="1" t="n"/>
      <c r="J15" s="1" t="n"/>
    </row>
    <row r="16">
      <c r="A16" s="4">
        <f>Urunler!A7</f>
        <v/>
      </c>
      <c r="B16" s="5">
        <f>Urunler!B7</f>
        <v/>
      </c>
      <c r="C16" s="6">
        <f>Urunler!C7</f>
        <v/>
      </c>
      <c r="D16" s="1" t="n"/>
      <c r="E16" s="1" t="n"/>
      <c r="F16" s="1" t="n"/>
      <c r="G16" s="1" t="n"/>
      <c r="H16" s="1" t="n"/>
      <c r="I16" s="1" t="n"/>
      <c r="J16" s="1" t="n"/>
    </row>
    <row r="17">
      <c r="A17" s="4">
        <f>Urunler!A8</f>
        <v/>
      </c>
      <c r="B17" s="5">
        <f>Urunler!B8</f>
        <v/>
      </c>
      <c r="C17" s="6">
        <f>Urunler!C8</f>
        <v/>
      </c>
      <c r="D17" s="1" t="n"/>
      <c r="E17" s="1" t="n"/>
      <c r="F17" s="1" t="n"/>
      <c r="G17" s="1" t="n"/>
      <c r="H17" s="1" t="n"/>
      <c r="I17" s="1" t="n"/>
      <c r="J17" s="1" t="n"/>
    </row>
    <row r="18">
      <c r="A18" s="4">
        <f>Urunler!A9</f>
        <v/>
      </c>
      <c r="B18" s="5">
        <f>Urunler!B9</f>
        <v/>
      </c>
      <c r="C18" s="6">
        <f>Urunler!C9</f>
        <v/>
      </c>
      <c r="D18" s="1" t="n"/>
      <c r="E18" s="1" t="n"/>
      <c r="F18" s="1" t="n"/>
      <c r="G18" s="1" t="n"/>
      <c r="H18" s="1" t="n"/>
      <c r="I18" s="1" t="n"/>
      <c r="J18" s="1" t="n"/>
    </row>
    <row r="19">
      <c r="A19" s="4">
        <f>Urunler!A10</f>
        <v/>
      </c>
      <c r="B19" s="5">
        <f>Urunler!B10</f>
        <v/>
      </c>
      <c r="C19" s="6">
        <f>Urunler!C10</f>
        <v/>
      </c>
      <c r="D19" s="1" t="n"/>
      <c r="E19" s="1" t="n"/>
      <c r="F19" s="1" t="n"/>
      <c r="G19" s="1" t="n"/>
      <c r="H19" s="1" t="n"/>
      <c r="I19" s="1" t="n"/>
      <c r="J19" s="1" t="n"/>
    </row>
    <row r="20">
      <c r="A20" s="7">
        <f>Urunler!A11</f>
        <v/>
      </c>
      <c r="B20" s="8">
        <f>Urunler!B11</f>
        <v/>
      </c>
      <c r="C20" s="9">
        <f>Urunler!C11</f>
        <v/>
      </c>
      <c r="D20" s="1" t="n"/>
      <c r="E20" s="1" t="n"/>
      <c r="F20" s="1" t="n"/>
      <c r="G20" s="1" t="n"/>
      <c r="H20" s="1" t="n"/>
      <c r="I20" s="1" t="n"/>
      <c r="J20" s="1" t="n"/>
    </row>
    <row r="21">
      <c r="A21" s="1" t="n"/>
      <c r="B21" s="1" t="n"/>
      <c r="C21" s="1" t="n"/>
      <c r="D21" s="1" t="n"/>
      <c r="E21" s="1" t="n"/>
      <c r="F21" s="1" t="n"/>
      <c r="G21" s="1" t="n"/>
      <c r="H21" s="1" t="n"/>
      <c r="I21" s="1" t="n"/>
      <c r="J21" s="1" t="n"/>
    </row>
    <row r="22">
      <c r="A22" s="1" t="n"/>
      <c r="B22" s="1" t="n"/>
      <c r="C22" s="1" t="n"/>
      <c r="D22" s="1" t="n"/>
      <c r="E22" s="1" t="n"/>
      <c r="F22" s="1" t="n"/>
      <c r="G22" s="1" t="n"/>
      <c r="H22" s="1" t="n"/>
      <c r="I22" s="1" t="n"/>
      <c r="J22" s="1" t="n"/>
    </row>
    <row r="23" ht="21.75" customHeight="1" s="164">
      <c r="A23" s="168" t="inlineStr">
        <is>
          <t>ÖNE ÇIKAN BULGULAR</t>
        </is>
      </c>
      <c r="D23" s="1" t="n"/>
      <c r="E23" s="1" t="n"/>
      <c r="F23" s="1" t="n"/>
      <c r="G23" s="1" t="n"/>
      <c r="H23" s="1" t="n"/>
      <c r="I23" s="1" t="n"/>
      <c r="J23" s="1" t="n"/>
    </row>
    <row r="24" ht="30" customHeight="1" s="164">
      <c r="A24" s="173">
        <f>"• Ürünlerin "&amp;TEXT(COUNTIF(Urunler!B2:B11,200)/COUNTA(Urunler!A2:A11),"0%")&amp;"’i 200 bar; portföy belirgin biçimde bu standarda yoğunlaşıyor."</f>
        <v/>
      </c>
      <c r="D24" s="1" t="n"/>
      <c r="E24" s="1" t="n"/>
      <c r="F24" s="1" t="n"/>
      <c r="G24" s="1" t="n"/>
      <c r="H24" s="1" t="n"/>
      <c r="I24" s="1" t="n"/>
      <c r="J24" s="1" t="n"/>
    </row>
    <row r="25" ht="30" customHeight="1" s="164">
      <c r="A25" s="173">
        <f>"• 230 bar ürünler ortalama "&amp;TEXT(AVERAGEIF(Urunler!B2:B11,230,Urunler!C2:C11),"0,00")&amp;" m³ gaz taşırken 200 bar ürünler "&amp;TEXT(AVERAGEIF(Urunler!B2:B11,200,Urunler!C2:C11),"0,00")&amp;" m³ taşıyor (+"&amp;TEXT(AVERAGEIF(Urunler!B2:B11,230,Urunler!C2:C11)/AVERAGEIF(Urunler!B2:B11,200,Urunler!C2:C11)-1,"0%")&amp;")."</f>
        <v/>
      </c>
      <c r="D25" s="1" t="n"/>
      <c r="E25" s="1" t="n"/>
      <c r="F25" s="1" t="n"/>
      <c r="G25" s="1" t="n"/>
      <c r="H25" s="1" t="n"/>
      <c r="I25" s="1" t="n"/>
      <c r="J25" s="1" t="n"/>
    </row>
    <row r="26" ht="30" customHeight="1" s="164">
      <c r="A26" s="173">
        <f>"• En yüksek kapasite "&amp;TEXT(MAX(Urunler!C2:C11),"0,00")&amp;" m³ ile "&amp;INDEX(Urunler!A2:A11,MATCH(MAX(Urunler!C2:C11),Urunler!C2:C11,0))&amp;"; en düşük "&amp;TEXT(MIN(Urunler!C2:C11),"0,00")&amp;" m³ ile "&amp;INDEX(Urunler!A2:A11,MATCH(MIN(Urunler!C2:C11),Urunler!C2:C11,0))&amp;"."</f>
        <v/>
      </c>
      <c r="D26" s="1" t="n"/>
      <c r="E26" s="1" t="n"/>
      <c r="F26" s="1" t="n"/>
      <c r="G26" s="1" t="n"/>
      <c r="H26" s="1" t="n"/>
      <c r="I26" s="1" t="n"/>
      <c r="J26" s="1" t="n"/>
    </row>
    <row r="27" ht="30" customHeight="1" s="164">
      <c r="A27" s="173">
        <f>"• Teklif formundaki 23 satırın "&amp;COUNTIF('Teklif Formu'!A8:A30,"&lt;&gt;")&amp;" satırı dolu; KDV dahil TL toplamı "&amp;TEXT('Teklif Formu'!K33,"#.##0,00")&amp;" TL."</f>
        <v/>
      </c>
      <c r="D27" s="1" t="n"/>
      <c r="E27" s="1" t="n"/>
      <c r="F27" s="1" t="n"/>
      <c r="G27" s="1" t="n"/>
      <c r="H27" s="1" t="n"/>
      <c r="I27" s="1" t="n"/>
      <c r="J27" s="1" t="n"/>
    </row>
    <row r="28">
      <c r="D28" s="1" t="n"/>
      <c r="E28" s="1" t="n"/>
      <c r="F28" s="1" t="n"/>
      <c r="G28" s="1" t="n"/>
      <c r="H28" s="1" t="n"/>
      <c r="I28" s="1" t="n"/>
      <c r="J28" s="1" t="n"/>
    </row>
    <row r="29">
      <c r="A29" s="1" t="n"/>
      <c r="B29" s="1" t="n"/>
      <c r="C29" s="1" t="n"/>
      <c r="D29" s="1" t="n"/>
      <c r="E29" s="1" t="n"/>
      <c r="F29" s="1" t="n"/>
      <c r="G29" s="1" t="n"/>
      <c r="H29" s="1" t="n"/>
      <c r="I29" s="1" t="n"/>
      <c r="J29" s="1" t="n"/>
    </row>
    <row r="30">
      <c r="A30" s="1" t="n"/>
      <c r="B30" s="1" t="n"/>
      <c r="C30" s="1" t="n"/>
      <c r="D30" s="1" t="n"/>
      <c r="E30" s="1" t="n"/>
      <c r="F30" s="1" t="n"/>
      <c r="G30" s="1" t="n"/>
      <c r="H30" s="1" t="n"/>
      <c r="I30" s="1" t="n"/>
      <c r="J30" s="1" t="n"/>
    </row>
  </sheetData>
  <mergeCells count="17">
    <mergeCell ref="A28:C28"/>
    <mergeCell ref="A25:C25"/>
    <mergeCell ref="A1:J2"/>
    <mergeCell ref="E6:F7"/>
    <mergeCell ref="C6:D7"/>
    <mergeCell ref="H6:I7"/>
    <mergeCell ref="A23:C23"/>
    <mergeCell ref="A3:J3"/>
    <mergeCell ref="A5:B5"/>
    <mergeCell ref="A6:B7"/>
    <mergeCell ref="G6:G7"/>
    <mergeCell ref="A27:C27"/>
    <mergeCell ref="C5:D5"/>
    <mergeCell ref="E5:F5"/>
    <mergeCell ref="H5:I5"/>
    <mergeCell ref="A26:C26"/>
    <mergeCell ref="A24:C24"/>
  </mergeCells>
  <conditionalFormatting sqref="C11:C20">
    <cfRule type="dataBar" priority="1">
      <dataBar>
        <cfvo type="min"/>
        <cfvo type="max"/>
        <color rgb="FF638EC6"/>
      </dataBar>
    </cfRule>
  </conditionalFormatting>
  <pageMargins left="0.7" right="0.7" top="0.75" bottom="0.75" header="0.3" footer="0.3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Sayfa4">
    <outlinePr summaryBelow="1" summaryRight="1"/>
    <pageSetUpPr/>
  </sheetPr>
  <dimension ref="A1:F20"/>
  <sheetViews>
    <sheetView showGridLines="0" workbookViewId="0">
      <selection activeCell="D14" sqref="D14"/>
    </sheetView>
  </sheetViews>
  <sheetFormatPr baseColWidth="8" defaultRowHeight="15"/>
  <cols>
    <col width="14.28515625" customWidth="1" style="164" min="1" max="1"/>
    <col width="26.7109375" customWidth="1" style="164" min="2" max="2"/>
    <col width="18.140625" customWidth="1" style="164" min="3" max="3"/>
    <col width="19" customWidth="1" style="164" min="4" max="4"/>
    <col width="20" customWidth="1" style="164" min="5" max="5"/>
    <col width="21" customWidth="1" style="164" min="6" max="6"/>
  </cols>
  <sheetData>
    <row r="1" ht="27" customHeight="1" s="164">
      <c r="A1" s="175" t="inlineStr">
        <is>
          <t>İŞ BANKASI DÖVİZ SATIŞ KURLARI</t>
        </is>
      </c>
    </row>
    <row r="2" ht="27" customHeight="1" s="164"/>
    <row r="3">
      <c r="A3" s="169" t="inlineStr">
        <is>
          <t>Teklif hesaplamalarında kullanılan çevrimiçi kur tablosu</t>
        </is>
      </c>
    </row>
    <row r="4">
      <c r="A4" s="1" t="n"/>
      <c r="B4" s="1" t="n"/>
      <c r="C4" s="1" t="n"/>
      <c r="D4" s="1" t="n"/>
      <c r="E4" s="1" t="n"/>
      <c r="F4" s="1" t="n"/>
    </row>
    <row r="5" ht="21.75" customHeight="1" s="164">
      <c r="A5" s="2" t="inlineStr">
        <is>
          <t>Kod</t>
        </is>
      </c>
      <c r="B5" s="2" t="inlineStr">
        <is>
          <t>Döviz</t>
        </is>
      </c>
      <c r="C5" s="2" t="inlineStr">
        <is>
          <t>Banka Satış (TL)</t>
        </is>
      </c>
      <c r="D5" s="2" t="inlineStr">
        <is>
          <t>Son Güncelleme</t>
        </is>
      </c>
      <c r="E5" s="2" t="inlineStr">
        <is>
          <t>Kaynak</t>
        </is>
      </c>
      <c r="F5" s="2" t="inlineStr">
        <is>
          <t>Durum</t>
        </is>
      </c>
    </row>
    <row r="6">
      <c r="A6" s="1" t="inlineStr">
        <is>
          <t>TRY</t>
        </is>
      </c>
      <c r="B6" s="1" t="inlineStr">
        <is>
          <t>Türk Lirası</t>
        </is>
      </c>
      <c r="C6" s="11" t="n">
        <v>1</v>
      </c>
      <c r="D6" s="288" t="n">
        <v>46292</v>
      </c>
      <c r="E6" s="1" t="inlineStr">
        <is>
          <t>Yerel para</t>
        </is>
      </c>
      <c r="F6" s="1" t="inlineStr">
        <is>
          <t>Sabit</t>
        </is>
      </c>
    </row>
    <row r="7">
      <c r="A7" s="1" t="inlineStr">
        <is>
          <t>USD</t>
        </is>
      </c>
      <c r="B7" s="1" t="inlineStr">
        <is>
          <t>Amerikan Doları</t>
        </is>
      </c>
      <c r="C7" s="11" t="n">
        <v>50.3378</v>
      </c>
      <c r="D7" s="288" t="n">
        <v>46292.93606481481</v>
      </c>
      <c r="E7" s="1" t="inlineStr">
        <is>
          <t>İş Bankası</t>
        </is>
      </c>
      <c r="F7" s="1" t="inlineStr">
        <is>
          <t>Otomatik yenilendi 2026.09.27-v6</t>
        </is>
      </c>
    </row>
    <row r="8">
      <c r="A8" s="1" t="inlineStr">
        <is>
          <t>EUR</t>
        </is>
      </c>
      <c r="B8" s="1" t="inlineStr">
        <is>
          <t>Euro</t>
        </is>
      </c>
      <c r="C8" s="11" t="n">
        <v>57.3448</v>
      </c>
      <c r="D8" s="288" t="n">
        <v>46292.93606481481</v>
      </c>
      <c r="E8" s="1" t="inlineStr">
        <is>
          <t>İş Bankası</t>
        </is>
      </c>
      <c r="F8" s="1" t="inlineStr">
        <is>
          <t>Otomatik yenilendi 2026.09.27-v6</t>
        </is>
      </c>
    </row>
    <row r="9">
      <c r="A9" s="1" t="inlineStr">
        <is>
          <t>GBP</t>
        </is>
      </c>
      <c r="B9" s="1" t="inlineStr">
        <is>
          <t>İngiliz Sterlini</t>
        </is>
      </c>
      <c r="C9" s="11" t="n">
        <v>66.7328</v>
      </c>
      <c r="D9" s="288" t="n">
        <v>46292.93606481481</v>
      </c>
      <c r="E9" s="1" t="inlineStr">
        <is>
          <t>İş Bankası</t>
        </is>
      </c>
      <c r="F9" s="1" t="inlineStr">
        <is>
          <t>Otomatik yenilendi 2026.09.27-v6</t>
        </is>
      </c>
    </row>
    <row r="10">
      <c r="A10" s="1" t="n"/>
      <c r="B10" s="1" t="n"/>
      <c r="C10" s="1" t="n"/>
      <c r="D10" s="1" t="n"/>
      <c r="E10" s="1" t="n"/>
      <c r="F10" s="1" t="n"/>
    </row>
    <row r="11">
      <c r="A11" s="1" t="n"/>
      <c r="B11" s="1" t="n"/>
      <c r="C11" s="1" t="n"/>
      <c r="D11" s="1" t="n"/>
      <c r="E11" s="1" t="n"/>
      <c r="F11" s="1" t="n"/>
    </row>
    <row r="12">
      <c r="A12" s="168" t="inlineStr">
        <is>
          <t>OTOMATİK YENİLEME YAPILANDIRMASI</t>
        </is>
      </c>
    </row>
    <row r="13">
      <c r="A13" s="10" t="inlineStr">
        <is>
          <t>Veri Sağlayıcı</t>
        </is>
      </c>
      <c r="B13" s="1" t="inlineStr">
        <is>
          <t>Türkiye İş Bankası resmî döviz kurları sayfası</t>
        </is>
      </c>
      <c r="C13" s="1" t="n"/>
      <c r="D13" s="1" t="n"/>
      <c r="E13" s="1" t="n"/>
      <c r="F13" s="1" t="n"/>
    </row>
    <row r="14">
      <c r="A14" s="10" t="inlineStr">
        <is>
          <t>Erişim Yöntemi</t>
        </is>
      </c>
      <c r="B14" s="1" t="inlineStr">
        <is>
          <t>HTML tablo — MSXML2.ServerXMLHTTP.6.0</t>
        </is>
      </c>
      <c r="C14" s="1" t="n"/>
      <c r="D14" s="1" t="n"/>
      <c r="E14" s="1" t="n"/>
      <c r="F14" s="1" t="n"/>
    </row>
    <row r="15">
      <c r="A15" s="10" t="inlineStr">
        <is>
          <t>API Anahtarı</t>
        </is>
      </c>
      <c r="B15" s="1" t="inlineStr">
        <is>
          <t>Gerekmez</t>
        </is>
      </c>
      <c r="C15" s="1" t="n"/>
      <c r="D15" s="1" t="n"/>
      <c r="E15" s="1" t="n"/>
      <c r="F15" s="1" t="n"/>
    </row>
    <row r="16">
      <c r="A16" s="10" t="inlineStr">
        <is>
          <t>Kur Türü</t>
        </is>
      </c>
      <c r="B16" s="1" t="inlineStr">
        <is>
          <t>Banka Satış</t>
        </is>
      </c>
      <c r="C16" s="1" t="n"/>
      <c r="D16" s="1" t="n"/>
      <c r="E16" s="1" t="n"/>
      <c r="F16" s="1" t="n"/>
    </row>
    <row r="17">
      <c r="A17" s="10" t="inlineStr">
        <is>
          <t>Para Birimleri</t>
        </is>
      </c>
      <c r="B17" s="1" t="inlineStr">
        <is>
          <t>USD, EUR, GBP</t>
        </is>
      </c>
      <c r="C17" s="1" t="n"/>
      <c r="D17" s="1" t="n"/>
      <c r="E17" s="1" t="n"/>
      <c r="F17" s="1" t="n"/>
    </row>
    <row r="18">
      <c r="A18" s="1" t="n"/>
      <c r="B18" s="1" t="n"/>
      <c r="C18" s="1" t="n"/>
      <c r="D18" s="1" t="n"/>
      <c r="E18" s="1" t="n"/>
      <c r="F18" s="1" t="n"/>
    </row>
    <row r="19" ht="33.95" customHeight="1" s="164">
      <c r="A19" s="174" t="inlineStr">
        <is>
          <t>Not: V3 makrosu İş Bankası resmî döviz kurları web tablosundan USD, EUR ve GBP Banka Satış değerlerini alır; API anahtarı kullanmaz.</t>
        </is>
      </c>
    </row>
    <row r="20">
      <c r="A20" s="1" t="n"/>
      <c r="B20" s="1" t="n"/>
      <c r="C20" s="1" t="n"/>
      <c r="D20" s="1" t="n"/>
      <c r="E20" s="1" t="n"/>
      <c r="F20" s="1" t="n"/>
    </row>
  </sheetData>
  <mergeCells count="4">
    <mergeCell ref="A3:F3"/>
    <mergeCell ref="A19:F19"/>
    <mergeCell ref="A12:F12"/>
    <mergeCell ref="A1:F2"/>
  </mergeCells>
  <conditionalFormatting sqref="C7:C9">
    <cfRule type="expression" priority="1" dxfId="34">
      <formula>C7&lt;1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ayfa5">
    <outlinePr summaryBelow="1" summaryRight="1"/>
    <pageSetUpPr/>
  </sheetPr>
  <dimension ref="A1:F611"/>
  <sheetViews>
    <sheetView showGridLines="0" topLeftCell="A76" workbookViewId="0">
      <selection activeCell="A5" sqref="A5:Y569"/>
    </sheetView>
  </sheetViews>
  <sheetFormatPr baseColWidth="8" defaultRowHeight="15"/>
  <cols>
    <col width="190.42578125" customWidth="1" style="164" min="1" max="1"/>
    <col width="24.7109375" customWidth="1" style="164" min="2" max="2"/>
    <col width="18.140625" customWidth="1" style="164" min="3" max="6"/>
  </cols>
  <sheetData>
    <row r="1" ht="27" customHeight="1" s="164">
      <c r="A1" s="176" t="inlineStr">
        <is>
          <t>ESKİ KAYNAK — KURULUM İÇİN KULLANMAYIN</t>
        </is>
      </c>
    </row>
    <row r="2" ht="27" customHeight="1" s="164"/>
    <row r="3">
      <c r="A3" s="178" t="inlineStr">
        <is>
          <t>Güncel ve doğrulanmış tek kaynak: TEK VBA MODÜLÜ!A5:Y569. Bu sayfadaki eski kod bloklarını VBA’ya kopyalamayın.</t>
        </is>
      </c>
    </row>
    <row r="4">
      <c r="A4" s="1" t="n"/>
      <c r="B4" s="1" t="n"/>
      <c r="C4" s="1" t="n"/>
      <c r="D4" s="1" t="n"/>
      <c r="E4" s="1" t="n"/>
      <c r="F4" s="1" t="n"/>
    </row>
    <row r="5">
      <c r="A5" s="177" t="inlineStr">
        <is>
          <t>1) Alt+F11 → Ekle → Modül → Aşağıdaki Standart Modül kodunu yapıştırın</t>
        </is>
      </c>
    </row>
    <row r="6">
      <c r="A6" s="1" t="n"/>
      <c r="B6" s="1" t="n"/>
      <c r="C6" s="1" t="n"/>
      <c r="D6" s="1" t="n"/>
      <c r="E6" s="1" t="n"/>
      <c r="F6" s="1" t="n"/>
    </row>
    <row r="7">
      <c r="A7" s="12" t="inlineStr">
        <is>
          <t>Option Explicit</t>
        </is>
      </c>
      <c r="B7" s="1" t="n"/>
      <c r="C7" s="1" t="n"/>
      <c r="D7" s="1" t="n"/>
      <c r="E7" s="1" t="n"/>
      <c r="F7" s="1" t="n"/>
    </row>
    <row r="8">
      <c r="A8" s="12" t="n"/>
      <c r="B8" s="1" t="n"/>
      <c r="C8" s="1" t="n"/>
      <c r="D8" s="1" t="n"/>
      <c r="E8" s="1" t="n"/>
      <c r="F8" s="1" t="n"/>
    </row>
    <row r="9">
      <c r="A9" s="12" t="inlineStr">
        <is>
          <t>Private Const KUR_URL As String = "https://www.isbank.com.tr/doviz-kurlari"</t>
        </is>
      </c>
      <c r="B9" s="1" t="n"/>
      <c r="C9" s="1" t="n"/>
      <c r="D9" s="1" t="n"/>
      <c r="E9" s="1" t="n"/>
      <c r="F9" s="1" t="n"/>
    </row>
    <row r="10">
      <c r="A10" s="12" t="inlineStr">
        <is>
          <t>Private Const KUR_SURUMU As String = "2026.09.27-v6"</t>
        </is>
      </c>
      <c r="B10" s="1" t="n"/>
      <c r="C10" s="1" t="n"/>
      <c r="D10" s="1" t="n"/>
      <c r="E10" s="1" t="n"/>
      <c r="F10" s="1" t="n"/>
    </row>
    <row r="11">
      <c r="A11" s="12" t="n"/>
      <c r="B11" s="1" t="n"/>
      <c r="C11" s="1" t="n"/>
      <c r="D11" s="1" t="n"/>
      <c r="E11" s="1" t="n"/>
      <c r="F11" s="1" t="n"/>
    </row>
    <row r="12">
      <c r="A12" s="12" t="inlineStr">
        <is>
          <t>Public Sub IsBankasiKurlariGuncelleV3()</t>
        </is>
      </c>
      <c r="B12" s="1" t="n"/>
      <c r="C12" s="1" t="n"/>
      <c r="D12" s="1" t="n"/>
      <c r="E12" s="1" t="n"/>
      <c r="F12" s="1" t="n"/>
    </row>
    <row r="13">
      <c r="A13" s="12" t="inlineStr">
        <is>
          <t xml:space="preserve">    On Error GoTo Hata</t>
        </is>
      </c>
      <c r="B13" s="1" t="n"/>
      <c r="C13" s="1" t="n"/>
      <c r="D13" s="1" t="n"/>
      <c r="E13" s="1" t="n"/>
      <c r="F13" s="1" t="n"/>
    </row>
    <row r="14">
      <c r="A14" s="12" t="inlineStr">
        <is>
          <t xml:space="preserve">    Dim req As Object, ws As Worksheet</t>
        </is>
      </c>
      <c r="B14" s="1" t="n"/>
      <c r="C14" s="1" t="n"/>
      <c r="D14" s="1" t="n"/>
      <c r="E14" s="1" t="n"/>
      <c r="F14" s="1" t="n"/>
    </row>
    <row r="15">
      <c r="A15" s="12" t="inlineStr">
        <is>
          <t xml:space="preserve">    Dim kodlar As Variant, kurlar(0 To 2) As Double</t>
        </is>
      </c>
      <c r="B15" s="1" t="n"/>
      <c r="C15" s="1" t="n"/>
      <c r="D15" s="1" t="n"/>
      <c r="E15" s="1" t="n"/>
      <c r="F15" s="1" t="n"/>
    </row>
    <row r="16">
      <c r="A16" s="12" t="inlineStr">
        <is>
          <t xml:space="preserve">    Dim satir As Variant, i As Long</t>
        </is>
      </c>
      <c r="B16" s="1" t="n"/>
      <c r="C16" s="1" t="n"/>
      <c r="D16" s="1" t="n"/>
      <c r="E16" s="1" t="n"/>
      <c r="F16" s="1" t="n"/>
    </row>
    <row r="17">
      <c r="A17" s="12" t="n"/>
      <c r="B17" s="1" t="n"/>
      <c r="C17" s="1" t="n"/>
      <c r="D17" s="1" t="n"/>
      <c r="E17" s="1" t="n"/>
      <c r="F17" s="1" t="n"/>
    </row>
    <row r="18">
      <c r="A18" s="12" t="inlineStr">
        <is>
          <t xml:space="preserve">    Application.ScreenUpdating = False</t>
        </is>
      </c>
      <c r="B18" s="1" t="n"/>
      <c r="C18" s="1" t="n"/>
      <c r="D18" s="1" t="n"/>
      <c r="E18" s="1" t="n"/>
      <c r="F18" s="1" t="n"/>
    </row>
    <row r="19">
      <c r="A19" s="12" t="inlineStr">
        <is>
          <t xml:space="preserve">    Application.StatusBar = "İş Bankası döviz satış kurları alınıyor..."</t>
        </is>
      </c>
      <c r="B19" s="1" t="n"/>
      <c r="C19" s="1" t="n"/>
      <c r="D19" s="1" t="n"/>
      <c r="E19" s="1" t="n"/>
      <c r="F19" s="1" t="n"/>
    </row>
    <row r="20">
      <c r="A20" s="12" t="inlineStr">
        <is>
          <t xml:space="preserve">    Set ws = ThisWorkbook.Worksheets("Kur Bilgisi")</t>
        </is>
      </c>
      <c r="B20" s="1" t="n"/>
      <c r="C20" s="1" t="n"/>
      <c r="D20" s="1" t="n"/>
      <c r="E20" s="1" t="n"/>
      <c r="F20" s="1" t="n"/>
    </row>
    <row r="21">
      <c r="A21" s="12" t="inlineStr">
        <is>
          <t xml:space="preserve">    Set req = CreateObject("MSXML2.ServerXMLHTTP.6.0")</t>
        </is>
      </c>
      <c r="B21" s="1" t="n"/>
      <c r="C21" s="1" t="n"/>
      <c r="D21" s="1" t="n"/>
      <c r="E21" s="1" t="n"/>
      <c r="F21" s="1" t="n"/>
    </row>
    <row r="22">
      <c r="A22" s="12" t="inlineStr">
        <is>
          <t xml:space="preserve">    req.setTimeouts 5000, 5000, 10000, 10000</t>
        </is>
      </c>
      <c r="B22" s="1" t="n"/>
      <c r="C22" s="1" t="n"/>
      <c r="D22" s="1" t="n"/>
      <c r="E22" s="1" t="n"/>
      <c r="F22" s="1" t="n"/>
    </row>
    <row r="23">
      <c r="A23" s="12" t="inlineStr">
        <is>
          <t xml:space="preserve">    req.Open "GET", KUR_URL, False</t>
        </is>
      </c>
      <c r="B23" s="1" t="n"/>
      <c r="C23" s="1" t="n"/>
      <c r="D23" s="1" t="n"/>
      <c r="E23" s="1" t="n"/>
      <c r="F23" s="1" t="n"/>
    </row>
    <row r="24">
      <c r="A24" s="12" t="inlineStr">
        <is>
          <t xml:space="preserve">    req.setRequestHeader "User-Agent", "Mozilla/5.0"</t>
        </is>
      </c>
      <c r="B24" s="1" t="n"/>
      <c r="C24" s="1" t="n"/>
      <c r="D24" s="1" t="n"/>
      <c r="E24" s="1" t="n"/>
      <c r="F24" s="1" t="n"/>
    </row>
    <row r="25">
      <c r="A25" s="12" t="inlineStr">
        <is>
          <t xml:space="preserve">    req.send</t>
        </is>
      </c>
      <c r="B25" s="1" t="n"/>
      <c r="C25" s="1" t="n"/>
      <c r="D25" s="1" t="n"/>
      <c r="E25" s="1" t="n"/>
      <c r="F25" s="1" t="n"/>
    </row>
    <row r="26">
      <c r="A26" s="12" t="inlineStr">
        <is>
          <t xml:space="preserve">    If req.Status &lt;&gt; 200 Then Err.Raise vbObjectError + 100, , "HTTP hatası: " &amp; req.Status</t>
        </is>
      </c>
      <c r="B26" s="1" t="n"/>
      <c r="C26" s="1" t="n"/>
      <c r="D26" s="1" t="n"/>
      <c r="E26" s="1" t="n"/>
      <c r="F26" s="1" t="n"/>
    </row>
    <row r="27">
      <c r="A27" s="12" t="n"/>
      <c r="B27" s="1" t="n"/>
      <c r="C27" s="1" t="n"/>
      <c r="D27" s="1" t="n"/>
      <c r="E27" s="1" t="n"/>
      <c r="F27" s="1" t="n"/>
    </row>
    <row r="28">
      <c r="A28" s="12" t="n"/>
      <c r="B28" s="1" t="n"/>
      <c r="C28" s="1" t="n"/>
      <c r="D28" s="1" t="n"/>
      <c r="E28" s="1" t="n"/>
      <c r="F28" s="1" t="n"/>
    </row>
    <row r="29">
      <c r="A29" s="12" t="n"/>
      <c r="B29" s="1" t="n"/>
      <c r="C29" s="1" t="n"/>
      <c r="D29" s="1" t="n"/>
      <c r="E29" s="1" t="n"/>
      <c r="F29" s="1" t="n"/>
    </row>
    <row r="30">
      <c r="A30" s="12" t="inlineStr">
        <is>
          <t xml:space="preserve">    kodlar = Array("USD", "EUR", "GBP")</t>
        </is>
      </c>
      <c r="B30" s="1" t="n"/>
      <c r="C30" s="1" t="n"/>
      <c r="D30" s="1" t="n"/>
      <c r="E30" s="1" t="n"/>
      <c r="F30" s="1" t="n"/>
    </row>
    <row r="31">
      <c r="A31" s="12" t="n"/>
      <c r="B31" s="1" t="n"/>
      <c r="C31" s="1" t="n"/>
      <c r="D31" s="1" t="n"/>
      <c r="E31" s="1" t="n"/>
      <c r="F31" s="1" t="n"/>
    </row>
    <row r="32">
      <c r="A32" s="12" t="inlineStr">
        <is>
          <t xml:space="preserve">    For i = LBound(kodlar) To UBound(kodlar)</t>
        </is>
      </c>
      <c r="B32" s="1" t="n"/>
      <c r="C32" s="1" t="n"/>
      <c r="D32" s="1" t="n"/>
      <c r="E32" s="1" t="n"/>
      <c r="F32" s="1" t="n"/>
    </row>
    <row r="33">
      <c r="A33" s="12" t="inlineStr">
        <is>
          <t xml:space="preserve">        kurlar(i) = SatisKuruBulV6(CStr(req.responseText), CStr(kodlar(i)))</t>
        </is>
      </c>
      <c r="B33" s="1" t="n"/>
      <c r="C33" s="1" t="n"/>
      <c r="D33" s="1" t="n"/>
      <c r="E33" s="1" t="n"/>
      <c r="F33" s="1" t="n"/>
    </row>
    <row r="34">
      <c r="A34" s="12" t="inlineStr">
        <is>
          <t xml:space="preserve">        If kurlar(i) &lt; 1 Or kurlar(i) &gt; 1000 Then Err.Raise vbObjectError + 101, , kodlar(i) &amp; " satış kuru geçersiz: " &amp; kurlar(i)</t>
        </is>
      </c>
      <c r="B34" s="1" t="n"/>
      <c r="C34" s="1" t="n"/>
      <c r="D34" s="1" t="n"/>
      <c r="E34" s="1" t="n"/>
      <c r="F34" s="1" t="n"/>
    </row>
    <row r="35">
      <c r="A35" s="12" t="inlineStr">
        <is>
          <t xml:space="preserve">    Next i</t>
        </is>
      </c>
      <c r="B35" s="1" t="n"/>
      <c r="C35" s="1" t="n"/>
      <c r="D35" s="1" t="n"/>
      <c r="E35" s="1" t="n"/>
      <c r="F35" s="1" t="n"/>
    </row>
    <row r="36">
      <c r="A36" s="12" t="n"/>
      <c r="B36" s="1" t="n"/>
      <c r="C36" s="1" t="n"/>
      <c r="D36" s="1" t="n"/>
      <c r="E36" s="1" t="n"/>
      <c r="F36" s="1" t="n"/>
    </row>
    <row r="37">
      <c r="A37" s="12" t="inlineStr">
        <is>
          <t xml:space="preserve">    For i = LBound(kodlar) To UBound(kodlar)</t>
        </is>
      </c>
      <c r="B37" s="1" t="n"/>
      <c r="C37" s="1" t="n"/>
      <c r="D37" s="1" t="n"/>
      <c r="E37" s="1" t="n"/>
      <c r="F37" s="1" t="n"/>
    </row>
    <row r="38">
      <c r="A38" s="12" t="inlineStr">
        <is>
          <t xml:space="preserve">        satir = Application.Match(kodlar(i), ws.Range("A:A"), 0)</t>
        </is>
      </c>
      <c r="B38" s="1" t="n"/>
      <c r="C38" s="1" t="n"/>
      <c r="D38" s="1" t="n"/>
      <c r="E38" s="1" t="n"/>
      <c r="F38" s="1" t="n"/>
    </row>
    <row r="39">
      <c r="A39" s="12" t="inlineStr">
        <is>
          <t xml:space="preserve">        If IsError(satir) Then Err.Raise vbObjectError + 102, , kodlar(i) &amp; " satırı Kur Bilgisi sayfasında yok."</t>
        </is>
      </c>
      <c r="B39" s="1" t="n"/>
      <c r="C39" s="1" t="n"/>
      <c r="D39" s="1" t="n"/>
      <c r="E39" s="1" t="n"/>
      <c r="F39" s="1" t="n"/>
    </row>
    <row r="40">
      <c r="A40" s="12" t="inlineStr">
        <is>
          <t xml:space="preserve">        ws.Cells(CLng(satir), 3).Value = kurlar(i)</t>
        </is>
      </c>
      <c r="B40" s="1" t="n"/>
      <c r="C40" s="1" t="n"/>
      <c r="D40" s="1" t="n"/>
      <c r="E40" s="1" t="n"/>
      <c r="F40" s="1" t="n"/>
    </row>
    <row r="41">
      <c r="A41" s="12" t="inlineStr">
        <is>
          <t xml:space="preserve">        ws.Cells(CLng(satir), 4).Value = Now</t>
        </is>
      </c>
      <c r="B41" s="1" t="n"/>
      <c r="C41" s="1" t="n"/>
      <c r="D41" s="1" t="n"/>
      <c r="E41" s="1" t="n"/>
      <c r="F41" s="1" t="n"/>
    </row>
    <row r="42">
      <c r="A42" s="12" t="inlineStr">
        <is>
          <t xml:space="preserve">        ws.Cells(CLng(satir), 6).Value = "Otomatik yenilendi " &amp; KUR_SURUMU</t>
        </is>
      </c>
      <c r="B42" s="1" t="n"/>
      <c r="C42" s="1" t="n"/>
      <c r="D42" s="1" t="n"/>
      <c r="E42" s="1" t="n"/>
      <c r="F42" s="1" t="n"/>
    </row>
    <row r="43">
      <c r="A43" s="12" t="inlineStr">
        <is>
          <t xml:space="preserve">    Next i</t>
        </is>
      </c>
      <c r="B43" s="1" t="n"/>
      <c r="C43" s="1" t="n"/>
      <c r="D43" s="1" t="n"/>
      <c r="E43" s="1" t="n"/>
      <c r="F43" s="1" t="n"/>
    </row>
    <row r="44">
      <c r="A44" s="12" t="n"/>
      <c r="B44" s="1" t="n"/>
      <c r="C44" s="1" t="n"/>
      <c r="D44" s="1" t="n"/>
      <c r="E44" s="1" t="n"/>
      <c r="F44" s="1" t="n"/>
    </row>
    <row r="45">
      <c r="A45" s="12" t="inlineStr">
        <is>
          <t xml:space="preserve">    ws.Range("D6:D9").NumberFormat = "dd.mm.yyyy hh:mm"</t>
        </is>
      </c>
      <c r="B45" s="1" t="n"/>
      <c r="C45" s="1" t="n"/>
      <c r="D45" s="1" t="n"/>
      <c r="E45" s="1" t="n"/>
      <c r="F45" s="1" t="n"/>
    </row>
    <row r="46">
      <c r="A46" s="12" t="inlineStr">
        <is>
          <t xml:space="preserve">    Application.CalculateFull</t>
        </is>
      </c>
      <c r="B46" s="1" t="n"/>
      <c r="C46" s="1" t="n"/>
      <c r="D46" s="1" t="n"/>
      <c r="E46" s="1" t="n"/>
      <c r="F46" s="1" t="n"/>
    </row>
    <row r="47">
      <c r="A47" s="12" t="inlineStr">
        <is>
          <t xml:space="preserve">    Application.StatusBar = False</t>
        </is>
      </c>
      <c r="B47" s="1" t="n"/>
      <c r="C47" s="1" t="n"/>
      <c r="D47" s="1" t="n"/>
      <c r="E47" s="1" t="n"/>
      <c r="F47" s="1" t="n"/>
    </row>
    <row r="48">
      <c r="A48" s="12" t="inlineStr">
        <is>
          <t xml:space="preserve">    Application.ScreenUpdating = True</t>
        </is>
      </c>
      <c r="B48" s="1" t="n"/>
      <c r="C48" s="1" t="n"/>
      <c r="D48" s="1" t="n"/>
      <c r="E48" s="1" t="n"/>
      <c r="F48" s="1" t="n"/>
    </row>
    <row r="49">
      <c r="A49" s="12" t="inlineStr">
        <is>
          <t xml:space="preserve">    Application.StatusBar = "USD, EUR ve GBP satış kurları güncellendi — " &amp; KUR_SURUMU</t>
        </is>
      </c>
      <c r="B49" s="1" t="n"/>
      <c r="C49" s="1" t="n"/>
      <c r="D49" s="1" t="n"/>
      <c r="E49" s="1" t="n"/>
      <c r="F49" s="1" t="n"/>
    </row>
    <row r="50">
      <c r="A50" s="12" t="inlineStr">
        <is>
          <t xml:space="preserve">    Exit Sub</t>
        </is>
      </c>
      <c r="B50" s="1" t="n"/>
      <c r="C50" s="1" t="n"/>
      <c r="D50" s="1" t="n"/>
      <c r="E50" s="1" t="n"/>
      <c r="F50" s="1" t="n"/>
    </row>
    <row r="51">
      <c r="A51" s="12" t="inlineStr">
        <is>
          <t>Hata:</t>
        </is>
      </c>
      <c r="B51" s="1" t="n"/>
      <c r="C51" s="1" t="n"/>
      <c r="D51" s="1" t="n"/>
      <c r="E51" s="1" t="n"/>
      <c r="F51" s="1" t="n"/>
    </row>
    <row r="52">
      <c r="A52" s="12" t="inlineStr">
        <is>
          <t xml:space="preserve">    Application.StatusBar = False</t>
        </is>
      </c>
      <c r="B52" s="1" t="n"/>
      <c r="C52" s="1" t="n"/>
      <c r="D52" s="1" t="n"/>
      <c r="E52" s="1" t="n"/>
      <c r="F52" s="1" t="n"/>
    </row>
    <row r="53">
      <c r="A53" s="12" t="inlineStr">
        <is>
          <t xml:space="preserve">    Application.ScreenUpdating = True</t>
        </is>
      </c>
      <c r="B53" s="1" t="n"/>
      <c r="C53" s="1" t="n"/>
      <c r="D53" s="1" t="n"/>
      <c r="E53" s="1" t="n"/>
      <c r="F53" s="1" t="n"/>
    </row>
    <row r="54">
      <c r="A54" s="12" t="inlineStr">
        <is>
          <t xml:space="preserve">    MsgBox "Kur güncellenemedi." &amp; vbCrLf &amp; "Sürüm: " &amp; KUR_SURUMU &amp; vbCrLf &amp; "Hata " &amp; Err.Number &amp; ": " &amp; Err.Description, vbExclamation</t>
        </is>
      </c>
      <c r="B54" s="1" t="n"/>
      <c r="C54" s="1" t="n"/>
      <c r="D54" s="1" t="n"/>
      <c r="E54" s="1" t="n"/>
      <c r="F54" s="1" t="n"/>
    </row>
    <row r="55">
      <c r="A55" s="12" t="inlineStr">
        <is>
          <t>End Sub</t>
        </is>
      </c>
      <c r="B55" s="1" t="n"/>
      <c r="C55" s="1" t="n"/>
      <c r="D55" s="1" t="n"/>
      <c r="E55" s="1" t="n"/>
      <c r="F55" s="1" t="n"/>
    </row>
    <row r="56">
      <c r="A56" s="12" t="n"/>
      <c r="B56" s="1" t="n"/>
      <c r="C56" s="1" t="n"/>
      <c r="D56" s="1" t="n"/>
      <c r="E56" s="1" t="n"/>
      <c r="F56" s="1" t="n"/>
    </row>
    <row r="57">
      <c r="A57" s="12" t="inlineStr">
        <is>
          <t>Private Function SatisKuruBulV6(ByVal html As String, ByVal kod As String) As Double</t>
        </is>
      </c>
      <c r="B57" s="1" t="n"/>
      <c r="C57" s="1" t="n"/>
      <c r="D57" s="1" t="n"/>
      <c r="E57" s="1" t="n"/>
      <c r="F57" s="1" t="n"/>
    </row>
    <row r="58">
      <c r="A58" s="12" t="inlineStr">
        <is>
          <t xml:space="preserve">    Dim re As Object, ms As Object, m As Object</t>
        </is>
      </c>
      <c r="B58" s="1" t="n"/>
      <c r="C58" s="1" t="n"/>
      <c r="D58" s="1" t="n"/>
      <c r="E58" s="1" t="n"/>
      <c r="F58" s="1" t="n"/>
    </row>
    <row r="59">
      <c r="A59" s="12" t="inlineStr">
        <is>
          <t xml:space="preserve">    Dim alis As Double, satis As Double</t>
        </is>
      </c>
      <c r="B59" s="1" t="n"/>
      <c r="C59" s="1" t="n"/>
      <c r="D59" s="1" t="n"/>
      <c r="E59" s="1" t="n"/>
      <c r="F59" s="1" t="n"/>
    </row>
    <row r="60">
      <c r="A60" s="12" t="inlineStr">
        <is>
          <t xml:space="preserve">    Set re = CreateObject("VBScript.RegExp")</t>
        </is>
      </c>
      <c r="B60" s="1" t="n"/>
      <c r="C60" s="1" t="n"/>
      <c r="D60" s="1" t="n"/>
      <c r="E60" s="1" t="n"/>
      <c r="F60" s="1" t="n"/>
    </row>
    <row r="61">
      <c r="A61" s="12" t="inlineStr">
        <is>
          <t xml:space="preserve">    With re</t>
        </is>
      </c>
      <c r="B61" s="1" t="n"/>
      <c r="C61" s="1" t="n"/>
      <c r="D61" s="1" t="n"/>
      <c r="E61" s="1" t="n"/>
      <c r="F61" s="1" t="n"/>
    </row>
    <row r="62">
      <c r="A62" s="12" t="inlineStr">
        <is>
          <t xml:space="preserve">        .Global = True</t>
        </is>
      </c>
      <c r="B62" s="1" t="n"/>
      <c r="C62" s="1" t="n"/>
      <c r="D62" s="1" t="n"/>
      <c r="E62" s="1" t="n"/>
      <c r="F62" s="1" t="n"/>
    </row>
    <row r="63">
      <c r="A63" s="12" t="inlineStr">
        <is>
          <t xml:space="preserve">        .IgnoreCase = True</t>
        </is>
      </c>
      <c r="B63" s="1" t="n"/>
      <c r="C63" s="1" t="n"/>
      <c r="D63" s="1" t="n"/>
      <c r="E63" s="1" t="n"/>
      <c r="F63" s="1" t="n"/>
    </row>
    <row r="64">
      <c r="A64" s="12" t="inlineStr">
        <is>
          <t xml:space="preserve">        .MultiLine = True</t>
        </is>
      </c>
      <c r="B64" s="1" t="n"/>
      <c r="C64" s="1" t="n"/>
      <c r="D64" s="1" t="n"/>
      <c r="E64" s="1" t="n"/>
      <c r="F64" s="1" t="n"/>
    </row>
    <row r="65">
      <c r="A65" s="12" t="inlineStr">
        <is>
          <t xml:space="preserve">        .Pattern = "\b" &amp; kod &amp; "\b[\s\S]{0,500}?([0-9]{1,3}[.,][0-9]{2,5})[\s\S]{0,200}?([0-9]{1,3}[.,][0-9]{2,5})"</t>
        </is>
      </c>
      <c r="B65" s="1" t="n"/>
      <c r="C65" s="1" t="n"/>
      <c r="D65" s="1" t="n"/>
      <c r="E65" s="1" t="n"/>
      <c r="F65" s="1" t="n"/>
    </row>
    <row r="66">
      <c r="A66" s="12" t="inlineStr">
        <is>
          <t xml:space="preserve">    End With</t>
        </is>
      </c>
      <c r="B66" s="1" t="n"/>
      <c r="C66" s="1" t="n"/>
      <c r="D66" s="1" t="n"/>
      <c r="E66" s="1" t="n"/>
      <c r="F66" s="1" t="n"/>
    </row>
    <row r="67">
      <c r="A67" s="12" t="inlineStr">
        <is>
          <t xml:space="preserve">    Set ms = re.Execute(html)</t>
        </is>
      </c>
      <c r="B67" s="1" t="n"/>
      <c r="C67" s="1" t="n"/>
      <c r="D67" s="1" t="n"/>
      <c r="E67" s="1" t="n"/>
      <c r="F67" s="1" t="n"/>
    </row>
    <row r="68">
      <c r="A68" s="12" t="inlineStr">
        <is>
          <t xml:space="preserve">    For Each m In ms</t>
        </is>
      </c>
      <c r="B68" s="1" t="n"/>
      <c r="C68" s="1" t="n"/>
      <c r="D68" s="1" t="n"/>
      <c r="E68" s="1" t="n"/>
      <c r="F68" s="1" t="n"/>
    </row>
    <row r="69">
      <c r="A69" s="12" t="inlineStr">
        <is>
          <t xml:space="preserve">        alis = YerelSayiyaCevirV3(CStr(m.SubMatches(0)))</t>
        </is>
      </c>
      <c r="B69" s="1" t="n"/>
      <c r="C69" s="1" t="n"/>
      <c r="D69" s="1" t="n"/>
      <c r="E69" s="1" t="n"/>
      <c r="F69" s="1" t="n"/>
    </row>
    <row r="70">
      <c r="A70" s="12" t="inlineStr">
        <is>
          <t xml:space="preserve">        satis = YerelSayiyaCevirV3(CStr(m.SubMatches(1)))</t>
        </is>
      </c>
      <c r="B70" s="1" t="n"/>
      <c r="C70" s="1" t="n"/>
      <c r="D70" s="1" t="n"/>
      <c r="E70" s="1" t="n"/>
      <c r="F70" s="1" t="n"/>
    </row>
    <row r="71">
      <c r="A71" s="12" t="inlineStr">
        <is>
          <t xml:space="preserve">        If alis &gt; 1 And satis &gt; alis And satis &lt; 250 And satis / alis &lt; 1.25 Then SatisKuruBulV6 = satis: Exit Function</t>
        </is>
      </c>
      <c r="B71" s="1" t="n"/>
      <c r="C71" s="1" t="n"/>
      <c r="D71" s="1" t="n"/>
      <c r="E71" s="1" t="n"/>
      <c r="F71" s="1" t="n"/>
    </row>
    <row r="72">
      <c r="A72" s="1" t="inlineStr">
        <is>
          <t xml:space="preserve">    Next m</t>
        </is>
      </c>
      <c r="B72" s="1" t="n"/>
      <c r="C72" s="1" t="n"/>
      <c r="D72" s="1" t="n"/>
      <c r="E72" s="1" t="n"/>
      <c r="F72" s="1" t="n"/>
    </row>
    <row r="73">
      <c r="A73" s="1" t="inlineStr">
        <is>
          <t>End Function</t>
        </is>
      </c>
      <c r="B73" s="1" t="n"/>
      <c r="C73" s="1" t="n"/>
      <c r="D73" s="1" t="n"/>
      <c r="E73" s="1" t="n"/>
      <c r="F73" s="1" t="n"/>
    </row>
    <row r="74">
      <c r="A74" s="177" t="n"/>
    </row>
    <row r="75">
      <c r="A75" s="1" t="inlineStr">
        <is>
          <t>Private Function YerelSayiyaCevirV3(ByVal metin As String) As Double</t>
        </is>
      </c>
      <c r="B75" s="1" t="n"/>
      <c r="C75" s="1" t="n"/>
      <c r="D75" s="1" t="n"/>
      <c r="E75" s="1" t="n"/>
      <c r="F75" s="1" t="n"/>
    </row>
    <row r="76">
      <c r="A76" s="12" t="inlineStr">
        <is>
          <t xml:space="preserve">    Dim s As String, ayirac As String</t>
        </is>
      </c>
      <c r="B76" s="1" t="n"/>
      <c r="C76" s="1" t="n"/>
      <c r="D76" s="1" t="n"/>
      <c r="E76" s="1" t="n"/>
      <c r="F76" s="1" t="n"/>
    </row>
    <row r="77">
      <c r="A77" s="12" t="inlineStr">
        <is>
          <t xml:space="preserve">    ayirac = Application.International(xlDecimalSeparator)</t>
        </is>
      </c>
      <c r="B77" s="1" t="n"/>
      <c r="C77" s="1" t="n"/>
      <c r="D77" s="1" t="n"/>
      <c r="E77" s="1" t="n"/>
      <c r="F77" s="1" t="n"/>
    </row>
    <row r="78">
      <c r="A78" s="12" t="inlineStr">
        <is>
          <t xml:space="preserve">    s = Replace(Replace(Replace(Trim$(metin), "TL", ""), Chr(160), ""), " ", "")</t>
        </is>
      </c>
      <c r="B78" s="1" t="n"/>
      <c r="C78" s="1" t="n"/>
      <c r="D78" s="1" t="n"/>
      <c r="E78" s="1" t="n"/>
      <c r="F78" s="1" t="n"/>
    </row>
    <row r="79">
      <c r="A79" s="12" t="inlineStr">
        <is>
          <t xml:space="preserve">    If InStr(s, ",") &gt; 0 Then</t>
        </is>
      </c>
      <c r="B79" s="1" t="n"/>
      <c r="C79" s="1" t="n"/>
      <c r="D79" s="1" t="n"/>
      <c r="E79" s="1" t="n"/>
      <c r="F79" s="1" t="n"/>
    </row>
    <row r="80">
      <c r="A80" s="1" t="inlineStr">
        <is>
          <t xml:space="preserve">        s = Replace(s, ".", "")</t>
        </is>
      </c>
      <c r="B80" s="1" t="n"/>
      <c r="C80" s="1" t="n"/>
      <c r="D80" s="1" t="n"/>
      <c r="E80" s="1" t="n"/>
      <c r="F80" s="1" t="n"/>
    </row>
    <row r="81">
      <c r="A81" s="1" t="inlineStr">
        <is>
          <t xml:space="preserve">        s = Replace(s, ",", ayirac)</t>
        </is>
      </c>
      <c r="B81" s="1" t="n"/>
      <c r="C81" s="1" t="n"/>
      <c r="D81" s="1" t="n"/>
      <c r="E81" s="1" t="n"/>
      <c r="F81" s="1" t="n"/>
    </row>
    <row r="82" ht="27.75" customHeight="1" s="164">
      <c r="A82" s="174" t="inlineStr">
        <is>
          <t xml:space="preserve">    Else</t>
        </is>
      </c>
    </row>
    <row r="83" ht="27.75" customHeight="1" s="164"/>
    <row r="84">
      <c r="A84" s="1" t="inlineStr">
        <is>
          <t xml:space="preserve">    End If</t>
        </is>
      </c>
      <c r="B84" s="1" t="n"/>
      <c r="C84" s="1" t="n"/>
      <c r="D84" s="1" t="n"/>
      <c r="E84" s="1" t="n"/>
      <c r="F84" s="1" t="n"/>
    </row>
    <row r="85">
      <c r="A85" t="inlineStr">
        <is>
          <t xml:space="preserve">    If IsNumeric(s) Then YerelSayiyaCevirV3 = CDbl(s)</t>
        </is>
      </c>
    </row>
    <row r="86" ht="24" customHeight="1" s="164">
      <c r="A86" s="179" t="inlineStr">
        <is>
          <t>End Function</t>
        </is>
      </c>
    </row>
    <row r="87" ht="15" customHeight="1" s="164"/>
    <row r="88" ht="15" customHeight="1" s="164">
      <c r="A88" s="14" t="inlineStr">
        <is>
          <t>Option Explicit</t>
        </is>
      </c>
    </row>
    <row r="89" ht="15" customHeight="1" s="164">
      <c r="A89" s="14" t="n"/>
    </row>
    <row r="90" ht="15" customHeight="1" s="164">
      <c r="A90" s="14" t="inlineStr">
        <is>
          <t>Private Const BEKLEME_SANIYE As Long = 15</t>
        </is>
      </c>
    </row>
    <row r="91" ht="15" customHeight="1" s="164">
      <c r="A91" s="14" t="inlineStr">
        <is>
          <t>Private Const MAKRO_SURUMU As String = "2026.09.27-v5"</t>
        </is>
      </c>
    </row>
    <row r="92" ht="15" customHeight="1" s="164">
      <c r="A92" s="14" t="n"/>
    </row>
    <row r="93" ht="15" customHeight="1" s="164">
      <c r="A93" s="14" t="inlineStr">
        <is>
          <t>Public Sub TeklifiWhatsAppPDFGonderV5()</t>
        </is>
      </c>
    </row>
    <row r="94" ht="15" customHeight="1" s="164">
      <c r="A94" s="14" t="inlineStr">
        <is>
          <t xml:space="preserve">    On Error GoTo Hata</t>
        </is>
      </c>
    </row>
    <row r="95" ht="15" customHeight="1" s="164">
      <c r="A95" s="14" t="inlineStr">
        <is>
          <t xml:space="preserve">    Dim ws As Worksheet, tel As String, pdf As String, klasor As String</t>
        </is>
      </c>
    </row>
    <row r="96" ht="15" customHeight="1" s="164">
      <c r="A96" s="14" t="inlineStr">
        <is>
          <t xml:space="preserve">    Dim dosya As String, mesaj As String, url As String, kabuk As Object</t>
        </is>
      </c>
    </row>
    <row r="97" ht="15" customHeight="1" s="164">
      <c r="A97" s="14" t="inlineStr">
        <is>
          <t xml:space="preserve">    Dim asama As String</t>
        </is>
      </c>
    </row>
    <row r="98" ht="15" customHeight="1" s="164">
      <c r="A98" s="14" t="n"/>
    </row>
    <row r="99" ht="15" customHeight="1" s="164">
      <c r="A99" s="14" t="inlineStr">
        <is>
          <t xml:space="preserve">    asama = "Teklif sayfası hazırlanıyor"</t>
        </is>
      </c>
    </row>
    <row r="100" ht="15" customHeight="1" s="164">
      <c r="A100" s="14" t="inlineStr">
        <is>
          <t xml:space="preserve">    Set ws = ThisWorkbook.Worksheets("Teklif Formu")</t>
        </is>
      </c>
    </row>
    <row r="101" ht="15" customHeight="1" s="164">
      <c r="A101" s="14" t="inlineStr">
        <is>
          <t xml:space="preserve">    tel = TemizTelefonV5(InputBox("Alıcı telefonunu ülke koduyla girin (örn. 905xxxxxxxxx):", "WhatsApp PDF Paylaşımı " &amp; MAKRO_SURUMU))</t>
        </is>
      </c>
    </row>
    <row r="102" ht="15" customHeight="1" s="164">
      <c r="A102" s="14" t="inlineStr">
        <is>
          <t xml:space="preserve">    If Len(tel) = 0 Then Exit Sub</t>
        </is>
      </c>
    </row>
    <row r="103" ht="15" customHeight="1" s="164">
      <c r="A103" s="14" t="inlineStr">
        <is>
          <t xml:space="preserve">    If Len(tel) &lt; 10 Or Len(tel) &gt; 15 Then Err.Raise vbObjectError + 201, , "Telefon numarası geçersiz."</t>
        </is>
      </c>
    </row>
    <row r="104" ht="15" customHeight="1" s="164">
      <c r="A104" s="14" t="inlineStr">
        <is>
          <t xml:space="preserve">    If MsgBox("Teklif PDF olarak oluşturulup +" &amp; tel &amp; " numarasına gönderilecek. Devam edilsin mi?", vbYesNo + vbQuestion, "Onay " &amp; MAKRO_SURUMU) &lt;&gt; vbYes Then Exit Sub</t>
        </is>
      </c>
    </row>
    <row r="105" ht="15" customHeight="1" s="164">
      <c r="A105" s="14" t="n"/>
    </row>
    <row r="106" ht="15" customHeight="1" s="164">
      <c r="A106" s="14" t="inlineStr">
        <is>
          <t xml:space="preserve">    klasor = Environ$("TEMP")</t>
        </is>
      </c>
    </row>
    <row r="107" ht="15" customHeight="1" s="164">
      <c r="A107" s="14" t="inlineStr">
        <is>
          <t xml:space="preserve">    If Len(klasor) = 0 Or Len(Dir$(klasor, vbDirectory)) = 0 Then Err.Raise vbObjectError + 202, , "TEMP klasörü bulunamadı."</t>
        </is>
      </c>
    </row>
    <row r="108" ht="15" customHeight="1" s="164">
      <c r="A108" s="14" t="inlineStr">
        <is>
          <t xml:space="preserve">    dosya = "Teklif_" &amp; DosyaAdiTemizleV5(CStr(ws.Range("J3").Text)) &amp; "_" &amp; Format(Now, "yyyymmdd_hhnnss") &amp; ".pdf"</t>
        </is>
      </c>
    </row>
    <row r="109" ht="15" customHeight="1" s="164">
      <c r="A109" s="14" t="inlineStr">
        <is>
          <t xml:space="preserve">    pdf = klasor &amp; "\" &amp; dosya</t>
        </is>
      </c>
    </row>
    <row r="110" ht="15" customHeight="1" s="164">
      <c r="A110" s="14" t="inlineStr">
        <is>
          <t xml:space="preserve">    Application.ScreenUpdating = False</t>
        </is>
      </c>
    </row>
    <row r="111" ht="15" customHeight="1" s="164">
      <c r="A111" s="14" t="n"/>
    </row>
    <row r="112" ht="15" customHeight="1" s="164">
      <c r="A112" s="14" t="inlineStr">
        <is>
          <t xml:space="preserve">    asama = "A4 PDF oluşturuluyor"</t>
        </is>
      </c>
    </row>
    <row r="113" ht="15" customHeight="1" s="164">
      <c r="A113" s="14" t="inlineStr">
        <is>
          <t xml:space="preserve">    With ws.PageSetup</t>
        </is>
      </c>
    </row>
    <row r="114" ht="15" customHeight="1" s="164">
      <c r="A114" s="14" t="inlineStr">
        <is>
          <t xml:space="preserve">        .PrintArea = "$A$1:$K$40"</t>
        </is>
      </c>
    </row>
    <row r="115" ht="15" customHeight="1" s="164">
      <c r="A115" s="14" t="inlineStr">
        <is>
          <t xml:space="preserve">        .Orientation = xlPortrait</t>
        </is>
      </c>
    </row>
    <row r="116" ht="15" customHeight="1" s="164">
      <c r="A116" s="14" t="inlineStr">
        <is>
          <t xml:space="preserve">        .PaperSize = xlPaperA4</t>
        </is>
      </c>
    </row>
    <row r="117" ht="15" customHeight="1" s="164">
      <c r="A117" s="14" t="inlineStr">
        <is>
          <t xml:space="preserve">        .Zoom = False</t>
        </is>
      </c>
    </row>
    <row r="118" ht="15" customHeight="1" s="164">
      <c r="A118" s="14" t="inlineStr">
        <is>
          <t xml:space="preserve">        .FitToPagesWide = 1</t>
        </is>
      </c>
    </row>
    <row r="119" ht="15" customHeight="1" s="164">
      <c r="A119" s="14" t="inlineStr">
        <is>
          <t xml:space="preserve">        .FitToPagesTall = 1</t>
        </is>
      </c>
    </row>
    <row r="120" ht="15" customHeight="1" s="164">
      <c r="A120" s="14" t="inlineStr">
        <is>
          <t xml:space="preserve">        .CenterHorizontally = True</t>
        </is>
      </c>
    </row>
    <row r="121" ht="15" customHeight="1" s="164">
      <c r="A121" s="14" t="inlineStr">
        <is>
          <t xml:space="preserve">        .LeftMargin = Application.CentimetersToPoints(0.6)</t>
        </is>
      </c>
    </row>
    <row r="122" ht="15" customHeight="1" s="164">
      <c r="A122" s="14" t="inlineStr">
        <is>
          <t xml:space="preserve">        .RightMargin = Application.CentimetersToPoints(0.6)</t>
        </is>
      </c>
    </row>
    <row r="123" ht="15" customHeight="1" s="164">
      <c r="A123" s="14" t="inlineStr">
        <is>
          <t xml:space="preserve">        .TopMargin = Application.CentimetersToPoints(0.6)</t>
        </is>
      </c>
    </row>
    <row r="124" ht="15" customHeight="1" s="164">
      <c r="A124" s="14" t="inlineStr">
        <is>
          <t xml:space="preserve">        .BottomMargin = Application.CentimetersToPoints(0.6)</t>
        </is>
      </c>
    </row>
    <row r="125" ht="15" customHeight="1" s="164">
      <c r="A125" s="14" t="inlineStr">
        <is>
          <t xml:space="preserve">    End With</t>
        </is>
      </c>
    </row>
    <row r="126" ht="15" customHeight="1" s="164">
      <c r="A126" s="14" t="inlineStr">
        <is>
          <t xml:space="preserve">    ws.ExportAsFixedFormat Type:=xlTypePDF, FileName:=pdf, Quality:=xlQualityStandard, IncludeDocProperties:=True, IgnorePrintAreas:=False, OpenAfterPublish:=False</t>
        </is>
      </c>
    </row>
    <row r="127" ht="15" customHeight="1" s="164">
      <c r="A127" s="14" t="inlineStr">
        <is>
          <t xml:space="preserve">    If Len(Dir$(pdf)) = 0 Then Err.Raise vbObjectError + 203, , "PDF oluşturulamadı."</t>
        </is>
      </c>
    </row>
    <row r="128" ht="15" customHeight="1" s="164">
      <c r="A128" s="14" t="n"/>
    </row>
    <row r="129" ht="15" customHeight="1" s="164">
      <c r="A129" s="14" t="inlineStr">
        <is>
          <t xml:space="preserve">    asama = "PDF Windows panosuna alınıyor"</t>
        </is>
      </c>
    </row>
    <row r="130" ht="15" customHeight="1" s="164">
      <c r="A130" s="14" t="inlineStr">
        <is>
          <t xml:space="preserve">    DosyayiPanoyaKopyalaV5 pdf</t>
        </is>
      </c>
    </row>
    <row r="131" ht="15" customHeight="1" s="164">
      <c r="A131" s="14" t="n"/>
    </row>
    <row r="132" ht="15" customHeight="1" s="164">
      <c r="A132" s="14" t="inlineStr">
        <is>
          <t xml:space="preserve">    asama = "WhatsApp Web açılıyor"</t>
        </is>
      </c>
    </row>
    <row r="133" ht="15" customHeight="1" s="164">
      <c r="A133" s="14" t="inlineStr">
        <is>
          <t xml:space="preserve">    mesaj = "Teklif PDF dosyanız ektedir."</t>
        </is>
      </c>
    </row>
    <row r="134" ht="15" customHeight="1" s="164">
      <c r="A134" s="14" t="inlineStr">
        <is>
          <t xml:space="preserve">    url = "https://web.whatsapp.com/send?phone=" &amp; tel &amp; "&amp;text=" &amp; Application.WorksheetFunction.EncodeURL(mesaj)</t>
        </is>
      </c>
    </row>
    <row r="135" ht="15" customHeight="1" s="164">
      <c r="A135" s="14" t="inlineStr">
        <is>
          <t xml:space="preserve">    ThisWorkbook.FollowHyperlink Address:=url, NewWindow:=True</t>
        </is>
      </c>
    </row>
    <row r="136" ht="15" customHeight="1" s="164">
      <c r="A136" s="14" t="inlineStr">
        <is>
          <t xml:space="preserve">    Application.Wait Now + TimeSerial(0, 0, BEKLEME_SANIYE)</t>
        </is>
      </c>
    </row>
    <row r="137" ht="15" customHeight="1" s="164">
      <c r="A137" s="14" t="n"/>
    </row>
    <row r="138" ht="15" customHeight="1" s="164">
      <c r="A138" s="14" t="inlineStr">
        <is>
          <t xml:space="preserve">    asama = "WhatsApp penceresi etkinleştiriliyor"</t>
        </is>
      </c>
    </row>
    <row r="139" ht="15" customHeight="1" s="164">
      <c r="A139" s="14" t="inlineStr">
        <is>
          <t xml:space="preserve">    Set kabuk = CreateObject("WScript.Shell")</t>
        </is>
      </c>
    </row>
    <row r="140" ht="15" customHeight="1" s="164">
      <c r="A140" s="14" t="inlineStr">
        <is>
          <t xml:space="preserve">    If kabuk Is Nothing Then Err.Raise vbObjectError + 204, , "WScript.Shell başlatılamadı."</t>
        </is>
      </c>
    </row>
    <row r="141" ht="15" customHeight="1" s="164">
      <c r="A141" s="14" t="inlineStr">
        <is>
          <t xml:space="preserve">    If Not kabuk.AppActivate("WhatsApp") Then Err.Raise vbObjectError + 205, , "WhatsApp Web penceresi bulunamadı. Tarayıcı sekmesini açıp tekrar deneyin."</t>
        </is>
      </c>
    </row>
    <row r="142" ht="15" customHeight="1" s="164">
      <c r="A142" s="14" t="inlineStr">
        <is>
          <t xml:space="preserve">    Application.Wait Now + TimeSerial(0, 0, 1)</t>
        </is>
      </c>
    </row>
    <row r="143" ht="15" customHeight="1" s="164">
      <c r="A143" s="14" t="n"/>
    </row>
    <row r="144" ht="15" customHeight="1" s="164">
      <c r="A144" s="14" t="inlineStr">
        <is>
          <t xml:space="preserve">    asama = "PDF WhatsApp'a yapıştırılıyor"</t>
        </is>
      </c>
    </row>
    <row r="145" ht="15" customHeight="1" s="164">
      <c r="A145" s="14" t="inlineStr">
        <is>
          <t xml:space="preserve">    kabuk.SendKeys "^v", True</t>
        </is>
      </c>
    </row>
    <row r="146" ht="15" customHeight="1" s="164">
      <c r="A146" s="14" t="inlineStr">
        <is>
          <t xml:space="preserve">    Application.Wait Now + TimeSerial(0, 0, 4)</t>
        </is>
      </c>
    </row>
    <row r="147" ht="15" customHeight="1" s="164">
      <c r="A147" s="14" t="inlineStr">
        <is>
          <t xml:space="preserve">    kabuk.SendKeys "{ENTER}", True</t>
        </is>
      </c>
    </row>
    <row r="148" ht="15" customHeight="1" s="164">
      <c r="A148" s="14" t="n"/>
    </row>
    <row r="149" ht="15" customHeight="1" s="164">
      <c r="A149" s="14" t="inlineStr">
        <is>
          <t xml:space="preserve">    Application.ScreenUpdating = True</t>
        </is>
      </c>
    </row>
    <row r="150" ht="15" customHeight="1" s="164">
      <c r="A150" s="14" t="inlineStr">
        <is>
          <t xml:space="preserve">    MsgBox "PDF WhatsApp üzerinden gönderildi." &amp; vbCrLf &amp; "Sürüm: " &amp; MAKRO_SURUMU &amp; vbCrLf &amp; pdf, vbInformation</t>
        </is>
      </c>
    </row>
    <row r="151" ht="15" customHeight="1" s="164">
      <c r="A151" s="14" t="inlineStr">
        <is>
          <t xml:space="preserve">    Exit Sub</t>
        </is>
      </c>
    </row>
    <row r="152" ht="15" customHeight="1" s="164">
      <c r="A152" s="14" t="inlineStr">
        <is>
          <t>Hata:</t>
        </is>
      </c>
    </row>
    <row r="153" ht="15" customHeight="1" s="164">
      <c r="A153" s="14" t="inlineStr">
        <is>
          <t xml:space="preserve">    Application.ScreenUpdating = True</t>
        </is>
      </c>
    </row>
    <row r="154" ht="15" customHeight="1" s="164">
      <c r="A154" s="14" t="inlineStr">
        <is>
          <t xml:space="preserve">    MsgBox "WhatsApp paylaşımı tamamlanamadı." &amp; vbCrLf &amp; "Sürüm: " &amp; MAKRO_SURUMU &amp; vbCrLf &amp; "Aşama: " &amp; asama &amp; vbCrLf &amp; "Hata " &amp; Err.Number &amp; ": " &amp; Err.Description &amp; vbCrLf &amp; "PDF yolu: " &amp; pdf, vbExclamation</t>
        </is>
      </c>
    </row>
    <row r="155" ht="15" customHeight="1" s="164">
      <c r="A155" s="14" t="inlineStr">
        <is>
          <t>End Sub</t>
        </is>
      </c>
    </row>
    <row r="156" ht="15" customHeight="1" s="164">
      <c r="A156" s="14" t="n"/>
    </row>
    <row r="157" ht="15" customHeight="1" s="164">
      <c r="A157" s="14" t="inlineStr">
        <is>
          <t>Private Sub DosyayiPanoyaKopyalaV5(ByVal pdf As String)</t>
        </is>
      </c>
    </row>
    <row r="158" ht="15" customHeight="1" s="164">
      <c r="A158" s="14" t="inlineStr">
        <is>
          <t xml:space="preserve">    Dim kabuk As Object, komut As String, guvenliYol As String</t>
        </is>
      </c>
    </row>
    <row r="159" ht="15" customHeight="1" s="164">
      <c r="A159" s="14" t="inlineStr">
        <is>
          <t xml:space="preserve">    Dim sonuc As Long</t>
        </is>
      </c>
    </row>
    <row r="160" ht="15" customHeight="1" s="164">
      <c r="A160" s="14" t="inlineStr">
        <is>
          <t xml:space="preserve">    If Len(Dir$(pdf)) = 0 Then Err.Raise vbObjectError + 206, , "Panoya alınacak PDF bulunamadı: " &amp; pdf</t>
        </is>
      </c>
    </row>
    <row r="161" ht="15" customHeight="1" s="164">
      <c r="A161" s="14" t="inlineStr">
        <is>
          <t xml:space="preserve">    guvenliYol = Replace(pdf, "'", "''")</t>
        </is>
      </c>
    </row>
    <row r="162" ht="15" customHeight="1" s="164">
      <c r="A162" s="14" t="inlineStr">
        <is>
          <t xml:space="preserve">    komut = "powershell.exe -NoProfile -STA -Command ""Add-Type -AssemblyName System.Windows.Forms; $f=New-Object System.Collections.Specialized.StringCollection; [void]$f.Add('" &amp; guvenliYol &amp; "'); [System.Windows.Forms.Clipboard]::SetFileDropList($f)"""</t>
        </is>
      </c>
    </row>
    <row r="163" ht="15" customHeight="1" s="164">
      <c r="A163" s="14" t="inlineStr">
        <is>
          <t xml:space="preserve">    Set kabuk = CreateObject("WScript.Shell")</t>
        </is>
      </c>
    </row>
    <row r="164" ht="15" customHeight="1" s="164">
      <c r="A164" s="14" t="inlineStr">
        <is>
          <t xml:space="preserve">    If kabuk Is Nothing Then Err.Raise vbObjectError + 207, , "WScript.Shell başlatılamadı."</t>
        </is>
      </c>
    </row>
    <row r="165" ht="15" customHeight="1" s="164">
      <c r="A165" s="14" t="inlineStr">
        <is>
          <t xml:space="preserve">    sonuc = kabuk.Run(komut, 0, True)</t>
        </is>
      </c>
    </row>
    <row r="166" ht="15" customHeight="1" s="164">
      <c r="A166" s="14" t="inlineStr">
        <is>
          <t xml:space="preserve">    If sonuc &lt;&gt; 0 Then Err.Raise vbObjectError + 208, , "PDF panoya alınamadı. PowerShell çıkış kodu: " &amp; sonuc</t>
        </is>
      </c>
    </row>
    <row r="167" ht="15" customHeight="1" s="164">
      <c r="A167" s="14" t="inlineStr">
        <is>
          <t xml:space="preserve">    DoEvents</t>
        </is>
      </c>
    </row>
    <row r="168" ht="15" customHeight="1" s="164">
      <c r="A168" s="14" t="inlineStr">
        <is>
          <t xml:space="preserve">    Application.Wait Now + TimeSerial(0, 0, 2)</t>
        </is>
      </c>
    </row>
    <row r="169" ht="15" customHeight="1" s="164">
      <c r="A169" s="14" t="inlineStr">
        <is>
          <t>End Sub</t>
        </is>
      </c>
    </row>
    <row r="170" ht="15" customHeight="1" s="164">
      <c r="A170" s="14" t="n"/>
    </row>
    <row r="171" ht="15" customHeight="1" s="164">
      <c r="A171" s="14" t="inlineStr">
        <is>
          <t>Public Sub TumFonksiyonlariTestEtV5()</t>
        </is>
      </c>
    </row>
    <row r="172" ht="15" customHeight="1" s="164">
      <c r="A172" s="14" t="inlineStr">
        <is>
          <t xml:space="preserve">    On Error GoTo Hata</t>
        </is>
      </c>
    </row>
    <row r="173" ht="15" customHeight="1" s="164">
      <c r="A173" s="14" t="inlineStr">
        <is>
          <t xml:space="preserve">    Dim ws As Worksheet, pdf As String, sonuc As String</t>
        </is>
      </c>
    </row>
    <row r="174" ht="15" customHeight="1" s="164">
      <c r="A174" s="14" t="inlineStr">
        <is>
          <t xml:space="preserve">    Dim eskiA As Variant, eskiI As Variant, hataNo As Long, hataAciklama As String</t>
        </is>
      </c>
    </row>
    <row r="175" ht="15" customHeight="1" s="164">
      <c r="A175" s="14" t="inlineStr">
        <is>
          <t xml:space="preserve">    Set ws = ThisWorkbook.Worksheets("Teklif Formu")</t>
        </is>
      </c>
    </row>
    <row r="176" ht="15" customHeight="1" s="164">
      <c r="A176" s="14" t="inlineStr">
        <is>
          <t xml:space="preserve">    eskiA = ws.Range("A30").Value</t>
        </is>
      </c>
    </row>
    <row r="177" ht="15" customHeight="1" s="164">
      <c r="A177" s="14" t="inlineStr">
        <is>
          <t xml:space="preserve">    eskiI = ws.Range("I30").Value</t>
        </is>
      </c>
    </row>
    <row r="178" ht="15" customHeight="1" s="164">
      <c r="A178" s="14" t="inlineStr">
        <is>
          <t xml:space="preserve">    If TemizTelefonV5("0532 123 45 67") &lt;&gt; ("90" &amp; "532" &amp; "123" &amp; "4567") Then Err.Raise vbObjectError + 210, , "Telefon testi başarısız."</t>
        </is>
      </c>
    </row>
    <row r="179" ht="15" customHeight="1" s="164">
      <c r="A179" s="14" t="inlineStr">
        <is>
          <t xml:space="preserve">    If DosyaAdiTemizleV5("T:1/2?*") &lt;&gt; "T-1-2--" Then Err.Raise vbObjectError + 211, , "Dosya adı testi başarısız."</t>
        </is>
      </c>
    </row>
    <row r="180" ht="15" customHeight="1" s="164">
      <c r="A180" s="14" t="inlineStr">
        <is>
          <t xml:space="preserve">    ws.Range("A30").Value = "Y.S. HELYUM GAZI"</t>
        </is>
      </c>
    </row>
    <row r="181" ht="15" customHeight="1" s="164">
      <c r="A181" s="14" t="inlineStr">
        <is>
          <t xml:space="preserve">    ws.Range("I30").Value = "USD"</t>
        </is>
      </c>
    </row>
    <row r="182" ht="15" customHeight="1" s="164">
      <c r="A182" s="14" t="inlineStr">
        <is>
          <t xml:space="preserve">    Application.CalculateFull</t>
        </is>
      </c>
    </row>
    <row r="183" ht="15" customHeight="1" s="164">
      <c r="A183" s="14" t="inlineStr">
        <is>
          <t xml:space="preserve">    If ws.Range("B30").Value &lt;&gt; 200 Then Err.Raise vbObjectError + 212, , "Ürün BAR formülü testi başarısız."</t>
        </is>
      </c>
    </row>
    <row r="184" ht="15" customHeight="1" s="164">
      <c r="A184" s="14" t="inlineStr">
        <is>
          <t xml:space="preserve">    If Abs(ws.Range("C30").Value - 9.2) &gt; 0.0001 Then Err.Raise vbObjectError + 213, , "Gaz miktarı formülü testi başarısız."</t>
        </is>
      </c>
    </row>
    <row r="185">
      <c r="A185" t="inlineStr">
        <is>
          <t xml:space="preserve">    If ws.Range("J30").Value &lt;= 1 Then Err.Raise vbObjectError + 214, , "Kur formülü testi başarısız."</t>
        </is>
      </c>
    </row>
    <row r="186">
      <c r="A186" t="inlineStr">
        <is>
          <t xml:space="preserve">    ws.Range("A30").Value = eskiA</t>
        </is>
      </c>
    </row>
    <row r="187" ht="60" customHeight="1" s="164">
      <c r="A187" s="17" t="inlineStr">
        <is>
          <t xml:space="preserve">    ws.Range("I30").Value = eskiI</t>
        </is>
      </c>
    </row>
    <row r="188" ht="15" customHeight="1" s="164">
      <c r="A188" s="16" t="inlineStr">
        <is>
          <t xml:space="preserve">    Application.CalculateFull</t>
        </is>
      </c>
    </row>
    <row r="189">
      <c r="A189" s="16" t="inlineStr">
        <is>
          <t xml:space="preserve">    pdf = Environ$("TEMP") &amp; "\Teklif_PDF_Test.pdf"</t>
        </is>
      </c>
    </row>
    <row r="190" ht="15" customHeight="1" s="164">
      <c r="A190" s="16" t="inlineStr">
        <is>
          <t xml:space="preserve">    ws.ExportAsFixedFormat Type:=xlTypePDF, FileName:=pdf, Quality:=xlQualityStandard, IncludeDocProperties:=True, IgnorePrintAreas:=False, OpenAfterPublish:=False</t>
        </is>
      </c>
    </row>
    <row r="191" ht="15" customHeight="1" s="164">
      <c r="A191" s="16" t="inlineStr">
        <is>
          <t xml:space="preserve">    If Len(Dir$(pdf)) = 0 Then Err.Raise vbObjectError + 215, , "PDF oluşturma testi başarısız."</t>
        </is>
      </c>
    </row>
    <row r="192">
      <c r="A192" s="16" t="inlineStr">
        <is>
          <t xml:space="preserve">    DosyayiPanoyaKopyalaV5 pdf</t>
        </is>
      </c>
    </row>
    <row r="193">
      <c r="A193" t="inlineStr">
        <is>
          <t xml:space="preserve">    sonuc = "Tüm testler başarılı:" &amp; vbCrLf &amp; _</t>
        </is>
      </c>
    </row>
    <row r="194" ht="18.75" customHeight="1" s="164">
      <c r="A194" s="219" t="inlineStr">
        <is>
          <t xml:space="preserve">             "• Telefon ve dosya adı" &amp; vbCrLf &amp; _</t>
        </is>
      </c>
      <c r="B194" s="219" t="n"/>
      <c r="C194" s="219" t="n"/>
      <c r="D194" s="219" t="n"/>
      <c r="E194" s="219" t="n"/>
      <c r="F194" s="219" t="n"/>
    </row>
    <row r="195">
      <c r="A195" s="20" t="inlineStr">
        <is>
          <t xml:space="preserve">             "• Ürün, gaz ve kur formülleri" &amp; vbCrLf &amp; _</t>
        </is>
      </c>
      <c r="B195" s="20" t="n"/>
      <c r="C195" s="20" t="n"/>
      <c r="D195" s="20" t="n"/>
      <c r="E195" s="20" t="n"/>
      <c r="F195" s="20" t="n"/>
    </row>
    <row r="196" ht="15" customHeight="1" s="164">
      <c r="A196" s="24" t="inlineStr">
        <is>
          <t xml:space="preserve">             "• A4 PDF oluşturma" &amp; vbCrLf &amp; _</t>
        </is>
      </c>
      <c r="B196" s="21" t="n"/>
      <c r="C196" s="181" t="n"/>
      <c r="D196" s="181" t="n"/>
      <c r="E196" s="181" t="n"/>
      <c r="F196" s="181" t="n"/>
    </row>
    <row r="197" ht="15" customHeight="1" s="164">
      <c r="A197" s="24" t="inlineStr">
        <is>
          <t xml:space="preserve">             "• PDF'yi Windows panosuna alma" &amp; vbCrLf &amp; _</t>
        </is>
      </c>
      <c r="B197" s="21" t="n"/>
      <c r="C197" s="181" t="n"/>
      <c r="D197" s="181" t="n"/>
      <c r="E197" s="181" t="n"/>
      <c r="F197" s="181" t="n"/>
    </row>
    <row r="198" ht="15" customHeight="1" s="164">
      <c r="A198" s="24" t="inlineStr">
        <is>
          <t xml:space="preserve">             "Sürüm: " &amp; MAKRO_SURUMU</t>
        </is>
      </c>
      <c r="B198" s="21" t="n"/>
      <c r="C198" s="181" t="n"/>
      <c r="D198" s="181" t="n"/>
      <c r="E198" s="181" t="n"/>
      <c r="F198" s="181" t="n"/>
    </row>
    <row r="199" ht="15" customHeight="1" s="164">
      <c r="A199" s="24" t="inlineStr">
        <is>
          <t xml:space="preserve">    MsgBox sonuc, vbInformation</t>
        </is>
      </c>
      <c r="B199" s="21" t="n"/>
      <c r="C199" s="181" t="n"/>
      <c r="D199" s="181" t="n"/>
      <c r="E199" s="181" t="n"/>
      <c r="F199" s="181" t="n"/>
    </row>
    <row r="200" ht="15" customHeight="1" s="164">
      <c r="A200" s="24" t="inlineStr">
        <is>
          <t xml:space="preserve">    Exit Sub</t>
        </is>
      </c>
      <c r="B200" s="21" t="n"/>
      <c r="C200" s="181" t="n"/>
      <c r="D200" s="181" t="n"/>
      <c r="E200" s="181" t="n"/>
      <c r="F200" s="181" t="n"/>
    </row>
    <row r="201" ht="15" customHeight="1" s="164">
      <c r="A201" s="25" t="inlineStr">
        <is>
          <t>Hata:</t>
        </is>
      </c>
      <c r="B201" s="23" t="n"/>
      <c r="C201" s="40" t="n"/>
      <c r="D201" s="40" t="n"/>
      <c r="E201" s="40" t="n"/>
      <c r="F201" s="40" t="n"/>
    </row>
    <row r="202">
      <c r="A202" t="inlineStr">
        <is>
          <t xml:space="preserve">    hataNo = Err.Number</t>
        </is>
      </c>
    </row>
    <row r="203">
      <c r="A203" t="inlineStr">
        <is>
          <t xml:space="preserve">    hataAciklama = Err.Description</t>
        </is>
      </c>
    </row>
    <row r="204">
      <c r="A204" t="inlineStr">
        <is>
          <t xml:space="preserve">    On Error Resume Next</t>
        </is>
      </c>
    </row>
    <row r="205">
      <c r="A205" t="inlineStr">
        <is>
          <t xml:space="preserve">    If Not ws Is Nothing Then</t>
        </is>
      </c>
    </row>
    <row r="206">
      <c r="A206" t="inlineStr">
        <is>
          <t xml:space="preserve">            ws.Range("A30").Value = eskiA</t>
        </is>
      </c>
    </row>
    <row r="207">
      <c r="A207" t="inlineStr">
        <is>
          <t xml:space="preserve">            ws.Range("I30").Value = eskiI</t>
        </is>
      </c>
    </row>
    <row r="208">
      <c r="A208" t="inlineStr">
        <is>
          <t xml:space="preserve">        Application.CalculateFull</t>
        </is>
      </c>
    </row>
    <row r="210">
      <c r="A210" t="inlineStr">
        <is>
          <t xml:space="preserve">    End If</t>
        </is>
      </c>
    </row>
    <row r="211">
      <c r="A211" t="inlineStr">
        <is>
          <t xml:space="preserve">    MsgBox "Fonksiyon testi başarısız." &amp; vbCrLf &amp; "Sürüm: " &amp; MAKRO_SURUMU &amp; vbCrLf &amp; "Hata " &amp; hataNo &amp; ": " &amp; hataAciklama, vbExclamation</t>
        </is>
      </c>
    </row>
    <row r="212">
      <c r="A212" t="inlineStr">
        <is>
          <t>End Sub</t>
        </is>
      </c>
    </row>
    <row r="214">
      <c r="A214" t="inlineStr">
        <is>
          <t>Private Function TemizTelefonV5(ByVal metin As String) As String</t>
        </is>
      </c>
    </row>
    <row r="215">
      <c r="A215" t="inlineStr">
        <is>
          <t xml:space="preserve">    Dim i As Long, ch As String, sonuc As String</t>
        </is>
      </c>
    </row>
    <row r="216">
      <c r="A216" t="inlineStr">
        <is>
          <t xml:space="preserve">    For i = 1 To Len(metin)</t>
        </is>
      </c>
    </row>
    <row r="217">
      <c r="A217" t="inlineStr">
        <is>
          <t xml:space="preserve">        ch = Mid$(metin, i, 1)</t>
        </is>
      </c>
    </row>
    <row r="218">
      <c r="A218" t="inlineStr">
        <is>
          <t xml:space="preserve">        If ch Like "#" Then sonuc = sonuc &amp; ch</t>
        </is>
      </c>
    </row>
    <row r="219">
      <c r="A219" t="inlineStr">
        <is>
          <t xml:space="preserve">    Next i</t>
        </is>
      </c>
    </row>
    <row r="220">
      <c r="A220" t="inlineStr">
        <is>
          <t xml:space="preserve">    If Left$(sonuc, 2) = "05" Then sonuc = "90" &amp; Mid$(sonuc, 2)</t>
        </is>
      </c>
    </row>
    <row r="221">
      <c r="A221" t="inlineStr">
        <is>
          <t xml:space="preserve">    If Len(sonuc) = 10 And Left$(sonuc, 1) = "5" Then sonuc = "90" &amp; sonuc</t>
        </is>
      </c>
    </row>
    <row r="222">
      <c r="A222" t="inlineStr">
        <is>
          <t xml:space="preserve">    TemizTelefonV5 = sonuc</t>
        </is>
      </c>
    </row>
    <row r="223">
      <c r="A223" t="inlineStr">
        <is>
          <t>End Function</t>
        </is>
      </c>
    </row>
    <row r="225">
      <c r="A225" t="inlineStr">
        <is>
          <t>Private Function DosyaAdiTemizleV5(ByVal metin As String) As String</t>
        </is>
      </c>
    </row>
    <row r="226">
      <c r="A226" t="inlineStr">
        <is>
          <t xml:space="preserve">    Dim yasak As Variant, x As Variant</t>
        </is>
      </c>
    </row>
    <row r="227">
      <c r="A227" t="inlineStr">
        <is>
          <t xml:space="preserve">    If Len(Trim$(metin)) = 0 Then metin = "Numarasiz"</t>
        </is>
      </c>
    </row>
    <row r="228">
      <c r="A228" t="inlineStr">
        <is>
          <t xml:space="preserve">    yasak = Array("\", "/", ":", "*", "?", Chr$(34), "&lt;", "&gt;", "|")</t>
        </is>
      </c>
    </row>
    <row r="229">
      <c r="A229" t="inlineStr">
        <is>
          <t xml:space="preserve">    For Each x In yasak</t>
        </is>
      </c>
    </row>
    <row r="230">
      <c r="A230" t="inlineStr">
        <is>
          <t xml:space="preserve">        metin = Replace(metin, CStr(x), "-")</t>
        </is>
      </c>
    </row>
    <row r="231">
      <c r="A231" t="inlineStr">
        <is>
          <t xml:space="preserve">    Next x</t>
        </is>
      </c>
    </row>
    <row r="232">
      <c r="A232" t="inlineStr">
        <is>
          <t xml:space="preserve">    DosyaAdiTemizleV5 = Trim$(metin)</t>
        </is>
      </c>
    </row>
    <row r="233">
      <c r="A233" t="inlineStr">
        <is>
          <t>End Function</t>
        </is>
      </c>
    </row>
    <row r="236">
      <c r="A236" s="182" t="inlineStr">
        <is>
          <t>WHATSAPP PDF — GÜNCEL KURULUM v5</t>
        </is>
      </c>
    </row>
    <row r="237">
      <c r="A237" t="inlineStr">
        <is>
          <t>A88:A233 kodunu WhatsApp modülündeki eski kodla değiştirin. v5 test makrosu korumalı formüllere yazmaz.</t>
        </is>
      </c>
    </row>
    <row r="247" ht="18.75" customHeight="1" s="164">
      <c r="A247" s="219" t="n"/>
      <c r="B247" s="219" t="n"/>
      <c r="C247" s="219" t="n"/>
      <c r="D247" s="219" t="n"/>
      <c r="E247" s="219" t="n"/>
      <c r="F247" s="219" t="n"/>
    </row>
    <row r="248">
      <c r="A248" s="182" t="n"/>
      <c r="B248" s="182" t="n"/>
      <c r="C248" s="182" t="n"/>
      <c r="D248" s="182" t="n"/>
      <c r="E248" s="182" t="n"/>
      <c r="F248" s="182" t="n"/>
    </row>
    <row r="249" ht="15" customHeight="1" s="164"/>
    <row r="250" ht="15" customHeight="1" s="164">
      <c r="A250" s="24" t="n"/>
      <c r="B250" s="21" t="n"/>
      <c r="C250" s="181" t="n"/>
      <c r="D250" s="181" t="n"/>
      <c r="E250" s="181" t="n"/>
      <c r="F250" s="181" t="n"/>
    </row>
    <row r="251" ht="15" customHeight="1" s="164">
      <c r="A251" s="24" t="n"/>
      <c r="B251" s="21" t="n"/>
      <c r="C251" s="181" t="n"/>
      <c r="D251" s="181" t="n"/>
      <c r="E251" s="181" t="n"/>
      <c r="F251" s="181" t="n"/>
    </row>
    <row r="252" ht="15" customHeight="1" s="164">
      <c r="A252" s="24" t="n"/>
      <c r="B252" s="21" t="n"/>
      <c r="C252" s="181" t="n"/>
      <c r="D252" s="181" t="n"/>
      <c r="E252" s="181" t="n"/>
      <c r="F252" s="181" t="n"/>
    </row>
    <row r="253" ht="15" customHeight="1" s="164">
      <c r="A253" s="24" t="n"/>
      <c r="B253" s="21" t="n"/>
      <c r="C253" s="181" t="n"/>
      <c r="D253" s="181" t="n"/>
      <c r="E253" s="181" t="n"/>
      <c r="F253" s="181" t="n"/>
    </row>
    <row r="254" ht="15" customHeight="1" s="164">
      <c r="A254" s="24" t="n"/>
      <c r="B254" s="21" t="n"/>
      <c r="C254" s="181" t="n"/>
      <c r="D254" s="181" t="n"/>
      <c r="E254" s="181" t="n"/>
      <c r="F254" s="181" t="n"/>
    </row>
    <row r="255" ht="15" customHeight="1" s="164">
      <c r="A255" s="24" t="n"/>
      <c r="B255" s="21" t="n"/>
      <c r="C255" s="181" t="n"/>
      <c r="D255" s="181" t="n"/>
      <c r="E255" s="181" t="n"/>
      <c r="F255" s="181" t="n"/>
    </row>
    <row r="256">
      <c r="A256" s="24" t="inlineStr">
        <is>
          <t>A4 baskı</t>
        </is>
      </c>
      <c r="B256" s="21" t="inlineStr">
        <is>
          <t>BAŞARILI</t>
        </is>
      </c>
      <c r="C256" s="181" t="inlineStr">
        <is>
          <t>Teklif Formu A4 dikey, 1×1 sayfaya sığdırılmış.</t>
        </is>
      </c>
    </row>
    <row r="257">
      <c r="A257" s="24" t="inlineStr">
        <is>
          <t>Windows canlı testi</t>
        </is>
      </c>
      <c r="B257" s="21" t="inlineStr">
        <is>
          <t>KULLANICI BİLGİSAYARINDA</t>
        </is>
      </c>
      <c r="C257" s="181" t="inlineStr">
        <is>
          <t>Eski VBA modülünü silip A88:A235 kodunu yapıştırın; TumFonksiyonlariTestEtV5 çalıştırın.</t>
        </is>
      </c>
    </row>
    <row r="258">
      <c r="A258" s="24" t="inlineStr">
        <is>
          <t>Sürüm doğrulaması</t>
        </is>
      </c>
      <c r="B258" s="242" t="inlineStr">
        <is>
          <t>ZORUNLU</t>
        </is>
      </c>
      <c r="C258" s="181" t="inlineStr">
        <is>
          <t>Açılan pencerede 2026.09.27-v3 görünmüyorsa eski makro çalışıyordur.</t>
        </is>
      </c>
    </row>
    <row r="262">
      <c r="A262" s="67" t="inlineStr">
        <is>
          <t>Option Explicit</t>
        </is>
      </c>
    </row>
    <row r="263">
      <c r="A263" s="67" t="n"/>
    </row>
    <row r="264">
      <c r="A264" s="67" t="inlineStr">
        <is>
          <t>Private Const PDF_SURUMU As String = "2026.09.27-v3"</t>
        </is>
      </c>
    </row>
    <row r="265">
      <c r="A265" s="67" t="n"/>
    </row>
    <row r="266">
      <c r="A266" s="67" t="inlineStr">
        <is>
          <t>Public Sub TeklifiMasaustunePDFKaydetV2()</t>
        </is>
      </c>
    </row>
    <row r="267">
      <c r="A267" s="67" t="inlineStr">
        <is>
          <t xml:space="preserve">    On Error GoTo Hata</t>
        </is>
      </c>
    </row>
    <row r="268">
      <c r="A268" s="67" t="inlineStr">
        <is>
          <t xml:space="preserve">    Dim ws As Worksheet, klasor As String, altKlasor As String</t>
        </is>
      </c>
    </row>
    <row r="269">
      <c r="A269" s="67" t="inlineStr">
        <is>
          <t xml:space="preserve">    Dim teklifNo As String, dosya As String, tamYol As String</t>
        </is>
      </c>
    </row>
    <row r="270">
      <c r="A270" s="67" t="inlineStr">
        <is>
          <t xml:space="preserve">    Dim kabuk As Object, hataNo As Long, hataAciklama As String</t>
        </is>
      </c>
    </row>
    <row r="271">
      <c r="A271" s="67" t="n"/>
    </row>
    <row r="272">
      <c r="A272" s="67" t="inlineStr">
        <is>
          <t xml:space="preserve">    Set ws = ThisWorkbook.Worksheets("Teklif Formu")</t>
        </is>
      </c>
    </row>
    <row r="273">
      <c r="A273" s="67" t="inlineStr">
        <is>
          <t xml:space="preserve">    Set kabuk = CreateObject("WScript.Shell")</t>
        </is>
      </c>
    </row>
    <row r="274">
      <c r="A274" s="67" t="inlineStr">
        <is>
          <t xml:space="preserve">    If kabuk Is Nothing Then Err.Raise vbObjectError + 301, , "Masaüstü yolu alınamadı."</t>
        </is>
      </c>
    </row>
    <row r="275">
      <c r="A275" s="67" t="inlineStr">
        <is>
          <t xml:space="preserve">    klasor = kabuk.SpecialFolders("Desktop") &amp; "\Teklifler"</t>
        </is>
      </c>
    </row>
    <row r="276">
      <c r="A276" s="67" t="inlineStr">
        <is>
          <t xml:space="preserve">    altKlasor = klasor &amp; "\PDF"</t>
        </is>
      </c>
    </row>
    <row r="277">
      <c r="A277" s="67" t="inlineStr">
        <is>
          <t xml:space="preserve">    KlasorOlusturPDFV2 klasor</t>
        </is>
      </c>
    </row>
    <row r="278">
      <c r="A278" s="67" t="inlineStr">
        <is>
          <t xml:space="preserve">    KlasorOlusturPDFV2 altKlasor</t>
        </is>
      </c>
    </row>
    <row r="279">
      <c r="A279" s="67" t="n"/>
    </row>
    <row r="280">
      <c r="A280" s="67" t="inlineStr">
        <is>
          <t xml:space="preserve">    teklifNo = PDFDosyaAdiTemizleV2(CStr(ws.Range("J3").Text))</t>
        </is>
      </c>
    </row>
    <row r="281">
      <c r="A281" s="67" t="inlineStr">
        <is>
          <t xml:space="preserve">    If Len(teklifNo) = 0 Then teklifNo = "Numarasiz"</t>
        </is>
      </c>
    </row>
    <row r="282">
      <c r="A282" s="67" t="inlineStr">
        <is>
          <t xml:space="preserve">    dosya = "Teklif_" &amp; teklifNo &amp; "_" &amp; Format(Now, "yyyymmdd_hhnnss") &amp; ".pdf"</t>
        </is>
      </c>
    </row>
    <row r="283">
      <c r="A283" s="67" t="inlineStr">
        <is>
          <t xml:space="preserve">    tamYol = altKlasor &amp; "\" &amp; dosya</t>
        </is>
      </c>
    </row>
    <row r="284">
      <c r="A284" s="67" t="n"/>
    </row>
    <row r="285">
      <c r="A285" s="67" t="inlineStr">
        <is>
          <t xml:space="preserve">    With ws.PageSetup</t>
        </is>
      </c>
    </row>
    <row r="286">
      <c r="A286" s="67" t="inlineStr">
        <is>
          <t xml:space="preserve">        .PrintArea = "$A$1:$K$40"</t>
        </is>
      </c>
    </row>
    <row r="287">
      <c r="A287" s="67" t="inlineStr">
        <is>
          <t xml:space="preserve">        .Orientation = xlPortrait</t>
        </is>
      </c>
    </row>
    <row r="288">
      <c r="A288" s="67" t="inlineStr">
        <is>
          <t xml:space="preserve">        .PaperSize = xlPaperA4</t>
        </is>
      </c>
    </row>
    <row r="289">
      <c r="A289" s="67" t="inlineStr">
        <is>
          <t xml:space="preserve">        .Zoom = False</t>
        </is>
      </c>
    </row>
    <row r="290">
      <c r="A290" s="67" t="inlineStr">
        <is>
          <t xml:space="preserve">        .FitToPagesWide = 1</t>
        </is>
      </c>
    </row>
    <row r="291">
      <c r="A291" s="67" t="inlineStr">
        <is>
          <t xml:space="preserve">        .FitToPagesTall = 1</t>
        </is>
      </c>
    </row>
    <row r="292">
      <c r="A292" s="67" t="inlineStr">
        <is>
          <t xml:space="preserve">        .CenterHorizontally = True</t>
        </is>
      </c>
    </row>
    <row r="293">
      <c r="A293" s="67" t="inlineStr">
        <is>
          <t xml:space="preserve">    End With</t>
        </is>
      </c>
    </row>
    <row r="294">
      <c r="A294" s="67" t="n"/>
    </row>
    <row r="295">
      <c r="A295" s="67" t="inlineStr">
        <is>
          <t xml:space="preserve">    ws.ExportAsFixedFormat Type:=xlTypePDF, FileName:=tamYol, Quality:=xlQualityStandard, IncludeDocProperties:=True, IgnorePrintAreas:=False, OpenAfterPublish:=False</t>
        </is>
      </c>
    </row>
    <row r="296">
      <c r="A296" s="67" t="inlineStr">
        <is>
          <t xml:space="preserve">    CreateObject("Shell.Application").Open altKlasor</t>
        </is>
      </c>
    </row>
    <row r="297">
      <c r="A297" s="67" t="n"/>
    </row>
    <row r="298">
      <c r="A298" s="67" t="inlineStr">
        <is>
          <t xml:space="preserve">    On Error Resume Next: Application.Run "'" &amp; ThisWorkbook.Name &amp; "'!TeklifIslemLoguV2", "PDF kaydedildi", ws.Range("J3").Text, "Başarılı", tamYol: On Error GoTo Hata: MsgBox "Teklif PDF olarak kaydedildi." &amp; vbCrLf &amp; "Sürüm: " &amp; PDF_SURUMU &amp; vbCrLf &amp; tamYol, vbInformation</t>
        </is>
      </c>
    </row>
    <row r="299">
      <c r="A299" s="67" t="inlineStr">
        <is>
          <t xml:space="preserve">    Exit Sub</t>
        </is>
      </c>
    </row>
    <row r="300">
      <c r="A300" s="67" t="inlineStr">
        <is>
          <t>Hata: hataNo = Err.Number: hataAciklama = Err.Description</t>
        </is>
      </c>
    </row>
    <row r="301">
      <c r="A301" s="67" t="inlineStr">
        <is>
          <t xml:space="preserve">    MsgBox "PDF kaydedilemedi." &amp; vbCrLf &amp; "Hata " &amp; hataNo &amp; ": " &amp; hataAciklama, vbExclamation</t>
        </is>
      </c>
    </row>
    <row r="302">
      <c r="A302" s="67" t="inlineStr">
        <is>
          <t>End Sub</t>
        </is>
      </c>
    </row>
    <row r="303">
      <c r="A303" s="67" t="n"/>
    </row>
    <row r="304">
      <c r="A304" s="67" t="inlineStr">
        <is>
          <t>Public Sub PDFDugmesiniBaglaV2()</t>
        </is>
      </c>
    </row>
    <row r="305">
      <c r="A305" s="67" t="inlineStr">
        <is>
          <t xml:space="preserve">    On Error GoTo Hata</t>
        </is>
      </c>
    </row>
    <row r="306">
      <c r="A306" s="67" t="inlineStr">
        <is>
          <t xml:space="preserve">    ThisWorkbook.Worksheets("PDF Kaydet").Shapes("PDF Kaydet Düğmesi").OnAction = "'" &amp; ThisWorkbook.Name &amp; "'!TeklifiMasaustunePDFKaydetV2"</t>
        </is>
      </c>
    </row>
    <row r="307">
      <c r="A307" s="67" t="inlineStr">
        <is>
          <t xml:space="preserve">    MsgBox "PDF Kaydet düğmesi hazır.", vbInformation</t>
        </is>
      </c>
    </row>
    <row r="308">
      <c r="A308" s="67" t="n"/>
    </row>
    <row r="309">
      <c r="A309" s="67" t="inlineStr">
        <is>
          <t>Hata:</t>
        </is>
      </c>
    </row>
    <row r="310">
      <c r="A310" s="67" t="inlineStr">
        <is>
          <t xml:space="preserve">    MsgBox "Düğme bağlanamadı: " &amp; Err.Description, vbExclamation</t>
        </is>
      </c>
    </row>
    <row r="311">
      <c r="A311" s="67" t="inlineStr">
        <is>
          <t>End Sub</t>
        </is>
      </c>
    </row>
    <row r="312">
      <c r="A312" s="67" t="n"/>
    </row>
    <row r="313">
      <c r="A313" s="67" t="inlineStr">
        <is>
          <t>Public Sub PDFKaydetTestiV2()</t>
        </is>
      </c>
    </row>
    <row r="314">
      <c r="A314" s="67" t="inlineStr">
        <is>
          <t xml:space="preserve">    On Error GoTo Hata</t>
        </is>
      </c>
    </row>
    <row r="315">
      <c r="A315" s="67" t="inlineStr">
        <is>
          <t xml:space="preserve">    Dim ws As Worksheet, kabuk As Object, klasor As String, tamYol As String</t>
        </is>
      </c>
    </row>
    <row r="316">
      <c r="A316" s="67" t="inlineStr">
        <is>
          <t xml:space="preserve">    Set ws = ThisWorkbook.Worksheets("Teklif Formu")</t>
        </is>
      </c>
    </row>
    <row r="317">
      <c r="A317" s="67" t="inlineStr">
        <is>
          <t xml:space="preserve">    Set kabuk = CreateObject("WScript.Shell")</t>
        </is>
      </c>
    </row>
    <row r="318">
      <c r="A318" s="67" t="inlineStr">
        <is>
          <t xml:space="preserve">    If kabuk Is Nothing Then Err.Raise vbObjectError + 303, , "Masaüstü yolu alınamadı."</t>
        </is>
      </c>
    </row>
    <row r="319">
      <c r="A319" s="67" t="inlineStr">
        <is>
          <t xml:space="preserve">    KlasorOlusturPDFV2 kabuk.SpecialFolders("Desktop") &amp; "\Teklifler"</t>
        </is>
      </c>
    </row>
    <row r="320">
      <c r="A320" s="67" t="inlineStr">
        <is>
          <t xml:space="preserve">    klasor = kabuk.SpecialFolders("Desktop") &amp; "\Teklifler\PDF"</t>
        </is>
      </c>
    </row>
    <row r="321">
      <c r="A321" s="67" t="inlineStr">
        <is>
          <t xml:space="preserve">    KlasorOlusturPDFV2 klasor</t>
        </is>
      </c>
    </row>
    <row r="322">
      <c r="A322" s="67" t="inlineStr">
        <is>
          <t xml:space="preserve">    tamYol = klasor &amp; "\Teklif_TEST_" &amp; Format(Now, "yyyymmdd_hhnnss") &amp; ".pdf"</t>
        </is>
      </c>
    </row>
    <row r="323">
      <c r="A323" s="67" t="inlineStr">
        <is>
          <t xml:space="preserve">    ws.ExportAsFixedFormat Type:=xlTypePDF, FileName:=tamYol, Quality:=xlQualityStandard, IncludeDocProperties:=True, IgnorePrintAreas:=False, OpenAfterPublish:=False</t>
        </is>
      </c>
    </row>
    <row r="324">
      <c r="A324" s="67" t="inlineStr">
        <is>
          <t xml:space="preserve">    CreateObject("Shell.Application").Open klasor</t>
        </is>
      </c>
    </row>
    <row r="325">
      <c r="A325" s="67" t="n"/>
    </row>
    <row r="326">
      <c r="A326" s="67" t="inlineStr">
        <is>
          <t xml:space="preserve">    MsgBox "PDF kayıt testi başarılı." &amp; vbCrLf &amp; tamYol, vbInformation</t>
        </is>
      </c>
    </row>
    <row r="327">
      <c r="A327" s="67" t="inlineStr">
        <is>
          <t xml:space="preserve">    Exit Sub</t>
        </is>
      </c>
    </row>
    <row r="328">
      <c r="A328" s="67" t="inlineStr">
        <is>
          <t>Hata:</t>
        </is>
      </c>
    </row>
    <row r="329">
      <c r="A329" s="67" t="inlineStr">
        <is>
          <t xml:space="preserve">    MsgBox "PDF kayıt testi başarısız. Hata " &amp; Err.Number &amp; ": " &amp; Err.Description, vbExclamation</t>
        </is>
      </c>
    </row>
    <row r="330">
      <c r="A330" s="67" t="inlineStr">
        <is>
          <t>End Sub</t>
        </is>
      </c>
    </row>
    <row r="331">
      <c r="A331" s="67" t="n"/>
    </row>
    <row r="332">
      <c r="A332" s="67" t="inlineStr">
        <is>
          <t>Private Sub KlasorOlusturPDFV2(ByVal yol As String)</t>
        </is>
      </c>
    </row>
    <row r="333">
      <c r="A333" s="67" t="inlineStr">
        <is>
          <t xml:space="preserve">    If Len(Dir$(yol, vbDirectory)) = 0 Then MkDir yol</t>
        </is>
      </c>
    </row>
    <row r="334">
      <c r="A334" s="67" t="inlineStr">
        <is>
          <t>End Sub</t>
        </is>
      </c>
    </row>
    <row r="335">
      <c r="A335" s="67" t="n"/>
    </row>
    <row r="336">
      <c r="A336" s="67" t="inlineStr">
        <is>
          <t>Private Function PDFDosyaAdiTemizleV2(ByVal metin As String) As String</t>
        </is>
      </c>
    </row>
    <row r="337">
      <c r="A337" s="67" t="inlineStr">
        <is>
          <t xml:space="preserve">    Dim yasak As Variant, x As Variant</t>
        </is>
      </c>
    </row>
    <row r="338">
      <c r="A338" s="67" t="inlineStr">
        <is>
          <t xml:space="preserve">    yasak = Array("\", "/", ":", "*", "?", Chr$(34), "&lt;", "&gt;", "|")</t>
        </is>
      </c>
    </row>
    <row r="339">
      <c r="A339" s="67" t="inlineStr">
        <is>
          <t xml:space="preserve">    For Each x In yasak</t>
        </is>
      </c>
    </row>
    <row r="340">
      <c r="A340" s="67" t="inlineStr">
        <is>
          <t xml:space="preserve">        metin = Replace(metin, CStr(x), "-")</t>
        </is>
      </c>
    </row>
    <row r="341">
      <c r="A341" s="67" t="inlineStr">
        <is>
          <t xml:space="preserve">    Next x</t>
        </is>
      </c>
    </row>
    <row r="342">
      <c r="A342" s="67" t="inlineStr">
        <is>
          <t xml:space="preserve">    PDFDosyaAdiTemizleV2 = Trim$(metin)</t>
        </is>
      </c>
    </row>
    <row r="343">
      <c r="A343" s="67" t="inlineStr">
        <is>
          <t>End Function</t>
        </is>
      </c>
    </row>
    <row r="344">
      <c r="A344" s="182" t="n"/>
      <c r="B344" s="182" t="n"/>
      <c r="C344" s="182" t="n"/>
      <c r="D344" s="182" t="n"/>
      <c r="E344" s="182" t="n"/>
      <c r="F344" s="182" t="n"/>
    </row>
    <row r="345">
      <c r="A345" s="182" t="inlineStr">
        <is>
          <t>PDF KAYDET MAKROSU — KURULUM v2</t>
        </is>
      </c>
    </row>
    <row r="346">
      <c r="A346" t="inlineStr">
        <is>
          <t>A262:A343 güncel kodunu PDF makro modülündeki eski kodun tamamıyla değiştirin; sonra PDFDugmesiniBaglaV2 ve PDFKaydetTestiV2 makrolarını çalıştırın.</t>
        </is>
      </c>
    </row>
    <row r="350">
      <c r="A350" t="inlineStr">
        <is>
          <t>Option Explicit</t>
        </is>
      </c>
    </row>
    <row r="352">
      <c r="A352" t="inlineStr">
        <is>
          <t>Private Const OUTLOOK_PDF_SURUMU As String = "2026.09.27-v1"</t>
        </is>
      </c>
    </row>
    <row r="354">
      <c r="A354" t="inlineStr">
        <is>
          <t>Public Sub TeklifiOutlookPDFTaslakV1()</t>
        </is>
      </c>
    </row>
    <row r="355">
      <c r="A355" t="inlineStr">
        <is>
          <t xml:space="preserve">    On Error GoTo Hata</t>
        </is>
      </c>
    </row>
    <row r="356">
      <c r="A356" t="inlineStr">
        <is>
          <t xml:space="preserve">    Dim ws As Worksheet, kabuk As Object, outlookApp As Object, posta As Object</t>
        </is>
      </c>
    </row>
    <row r="357">
      <c r="A357" t="inlineStr">
        <is>
          <t xml:space="preserve">    Dim klasor As String, pdfKlasor As String, teklifNo As String</t>
        </is>
      </c>
    </row>
    <row r="358">
      <c r="A358" t="inlineStr">
        <is>
          <t xml:space="preserve">    Dim dosya As String, tamYol As String, asama As String, hataNo As Long, hataAciklama As String</t>
        </is>
      </c>
    </row>
    <row r="360">
      <c r="A360" t="inlineStr">
        <is>
          <t xml:space="preserve">    asama = "Teklif sayfası hazırlanıyor"</t>
        </is>
      </c>
    </row>
    <row r="361">
      <c r="A361" t="inlineStr">
        <is>
          <t xml:space="preserve">    Set ws = ThisWorkbook.Worksheets("Teklif Formu")</t>
        </is>
      </c>
    </row>
    <row r="362">
      <c r="A362" t="inlineStr">
        <is>
          <t xml:space="preserve">    Set kabuk = CreateObject("WScript.Shell")</t>
        </is>
      </c>
    </row>
    <row r="363">
      <c r="A363" t="inlineStr">
        <is>
          <t xml:space="preserve">    If kabuk Is Nothing Then Err.Raise vbObjectError + 401, , "Masaüstü yolu alınamadı."</t>
        </is>
      </c>
    </row>
    <row r="364">
      <c r="A364" t="inlineStr">
        <is>
          <t xml:space="preserve">    klasor = kabuk.SpecialFolders("Desktop") &amp; "\Teklifler"</t>
        </is>
      </c>
    </row>
    <row r="365">
      <c r="A365" t="inlineStr">
        <is>
          <t xml:space="preserve">    pdfKlasor = klasor &amp; "\PDF"</t>
        </is>
      </c>
    </row>
    <row r="366">
      <c r="A366" t="inlineStr">
        <is>
          <t xml:space="preserve">    OutlookKlasorOlusturV1 klasor</t>
        </is>
      </c>
    </row>
    <row r="367">
      <c r="A367" t="inlineStr">
        <is>
          <t xml:space="preserve">    OutlookKlasorOlusturV1 pdfKlasor</t>
        </is>
      </c>
    </row>
    <row r="369">
      <c r="A369" t="inlineStr">
        <is>
          <t xml:space="preserve">    teklifNo = OutlookDosyaAdiTemizleV1(CStr(ws.Range("J3").Text))</t>
        </is>
      </c>
    </row>
    <row r="370">
      <c r="A370" t="inlineStr">
        <is>
          <t xml:space="preserve">    If Len(teklifNo) = 0 Then teklifNo = "Numarasiz"</t>
        </is>
      </c>
    </row>
    <row r="371">
      <c r="A371" t="inlineStr">
        <is>
          <t xml:space="preserve">    dosya = "Teklif_" &amp; teklifNo &amp; "_" &amp; Format(Now, "yyyymmdd_hhnnss") &amp; ".pdf"</t>
        </is>
      </c>
    </row>
    <row r="372">
      <c r="A372" t="inlineStr">
        <is>
          <t xml:space="preserve">    tamYol = pdfKlasor &amp; "\" &amp; dosya</t>
        </is>
      </c>
    </row>
    <row r="374">
      <c r="A374" t="inlineStr">
        <is>
          <t xml:space="preserve">    asama = "A4 PDF oluşturuluyor"</t>
        </is>
      </c>
    </row>
    <row r="375">
      <c r="A375" t="inlineStr">
        <is>
          <t xml:space="preserve">    With ws.PageSetup</t>
        </is>
      </c>
    </row>
    <row r="376">
      <c r="A376" t="inlineStr">
        <is>
          <t xml:space="preserve">        .PrintArea = "$A$1:$K$40"</t>
        </is>
      </c>
    </row>
    <row r="377">
      <c r="A377" t="inlineStr">
        <is>
          <t xml:space="preserve">        .Orientation = xlPortrait</t>
        </is>
      </c>
    </row>
    <row r="378">
      <c r="A378" t="inlineStr">
        <is>
          <t xml:space="preserve">        .PaperSize = xlPaperA4</t>
        </is>
      </c>
    </row>
    <row r="379">
      <c r="A379" t="inlineStr">
        <is>
          <t xml:space="preserve">        .Zoom = False</t>
        </is>
      </c>
    </row>
    <row r="380">
      <c r="A380" t="inlineStr">
        <is>
          <t xml:space="preserve">        .FitToPagesWide = 1</t>
        </is>
      </c>
    </row>
    <row r="381">
      <c r="A381" t="inlineStr">
        <is>
          <t xml:space="preserve">        .FitToPagesTall = 1</t>
        </is>
      </c>
    </row>
    <row r="382">
      <c r="A382" t="inlineStr">
        <is>
          <t xml:space="preserve">        .CenterHorizontally = True</t>
        </is>
      </c>
    </row>
    <row r="383">
      <c r="A383" t="inlineStr">
        <is>
          <t xml:space="preserve">    End With</t>
        </is>
      </c>
    </row>
    <row r="384">
      <c r="A384" t="inlineStr">
        <is>
          <t xml:space="preserve">    ws.ExportAsFixedFormat Type:=xlTypePDF, FileName:=tamYol, Quality:=xlQualityStandard, IncludeDocProperties:=True, IgnorePrintAreas:=False, OpenAfterPublish:=False</t>
        </is>
      </c>
    </row>
    <row r="385">
      <c r="A385" t="inlineStr">
        <is>
          <t xml:space="preserve">    If Len(Dir$(tamYol)) = 0 Then Err.Raise vbObjectError + 402, , "PDF oluşturulamadı."</t>
        </is>
      </c>
    </row>
    <row r="387">
      <c r="A387" t="inlineStr">
        <is>
          <t xml:space="preserve">    asama = "Klasik Outlook açılıyor"</t>
        </is>
      </c>
    </row>
    <row r="388">
      <c r="A388" t="inlineStr">
        <is>
          <t xml:space="preserve">    On Error Resume Next</t>
        </is>
      </c>
    </row>
    <row r="389">
      <c r="A389" t="inlineStr">
        <is>
          <t xml:space="preserve">    Set outlookApp = GetObject(, "Outlook.Application")</t>
        </is>
      </c>
    </row>
    <row r="390">
      <c r="A390" t="inlineStr">
        <is>
          <t xml:space="preserve">    If outlookApp Is Nothing Then Set outlookApp = CreateObject("Outlook.Application")</t>
        </is>
      </c>
    </row>
    <row r="391">
      <c r="A391" t="inlineStr">
        <is>
          <t xml:space="preserve">    On Error GoTo Hata</t>
        </is>
      </c>
    </row>
    <row r="392">
      <c r="A392" t="inlineStr">
        <is>
          <t xml:space="preserve">    If outlookApp Is Nothing Then Err.Raise vbObjectError + 403, , "Klasik Outlook başlatılamadı. Yeni Outlook kullanıyorsanız Klasik Outlook'a geçin."</t>
        </is>
      </c>
    </row>
    <row r="394">
      <c r="A394" t="inlineStr">
        <is>
          <t xml:space="preserve">    asama = "Yeni e-posta hazırlanıyor"</t>
        </is>
      </c>
    </row>
    <row r="395">
      <c r="A395" t="inlineStr">
        <is>
          <t xml:space="preserve">    Set posta = outlookApp.CreateItem(0)</t>
        </is>
      </c>
    </row>
    <row r="396">
      <c r="A396" t="inlineStr">
        <is>
          <t xml:space="preserve">    If posta Is Nothing Then Err.Raise vbObjectError + 404, , "Yeni e-posta oluşturulamadı."</t>
        </is>
      </c>
    </row>
    <row r="397">
      <c r="A397" t="inlineStr">
        <is>
          <t xml:space="preserve">    posta.To = ""</t>
        </is>
      </c>
    </row>
    <row r="398">
      <c r="A398" t="inlineStr">
        <is>
          <t xml:space="preserve">    posta.CC = ""</t>
        </is>
      </c>
    </row>
    <row r="399">
      <c r="A399" t="inlineStr">
        <is>
          <t xml:space="preserve">    posta.BCC = ""</t>
        </is>
      </c>
    </row>
    <row r="400">
      <c r="A400" t="inlineStr">
        <is>
          <t xml:space="preserve">    posta.Subject = ""</t>
        </is>
      </c>
    </row>
    <row r="401">
      <c r="A401" t="inlineStr">
        <is>
          <t xml:space="preserve">    posta.Body = ""</t>
        </is>
      </c>
    </row>
    <row r="402">
      <c r="A402" t="inlineStr">
        <is>
          <t xml:space="preserve">    posta.Save</t>
        </is>
      </c>
    </row>
    <row r="403">
      <c r="A403" t="inlineStr">
        <is>
          <t xml:space="preserve">    posta.Attachments.Add tamYol, 1</t>
        </is>
      </c>
    </row>
    <row r="404">
      <c r="A404" t="inlineStr">
        <is>
          <t xml:space="preserve">    posta.Save</t>
        </is>
      </c>
    </row>
    <row r="405">
      <c r="A405" t="inlineStr">
        <is>
          <t xml:space="preserve">    posta.Display: On Error Resume Next: Application.Run "'" &amp; ThisWorkbook.Name &amp; "'!TeklifIslemLoguV2", "Outlook taslağı açıldı", ws.Range("J3").Text, "Başarılı", tamYol: On Error GoTo Hata</t>
        </is>
      </c>
    </row>
    <row r="406">
      <c r="A406" t="inlineStr">
        <is>
          <t xml:space="preserve">    SetForegroundWindowOutlookV1 posta</t>
        </is>
      </c>
    </row>
    <row r="407">
      <c r="A407" t="inlineStr">
        <is>
          <t xml:space="preserve">    Exit Sub</t>
        </is>
      </c>
    </row>
    <row r="408">
      <c r="A408" t="inlineStr">
        <is>
          <t>Hata: hataNo = Err.Number: hataAciklama = Err.Description</t>
        </is>
      </c>
    </row>
    <row r="409">
      <c r="A409" t="inlineStr">
        <is>
          <t xml:space="preserve">    MsgBox "Outlook PDF işlemi tamamlanamadı." &amp; vbCrLf &amp; "Sürüm: " &amp; OUTLOOK_PDF_SURUMU &amp; vbCrLf &amp; "Aşama: " &amp; asama &amp; vbCrLf &amp; "Hata " &amp; hataNo &amp; ": " &amp; hataAciklama, vbExclamation</t>
        </is>
      </c>
    </row>
    <row r="410">
      <c r="A410" t="inlineStr">
        <is>
          <t>End Sub</t>
        </is>
      </c>
    </row>
    <row r="412">
      <c r="A412" t="inlineStr">
        <is>
          <t>Public Sub OutlookDugmesiniBaglaV1()</t>
        </is>
      </c>
    </row>
    <row r="413">
      <c r="A413" t="inlineStr">
        <is>
          <t xml:space="preserve">    On Error GoTo Hata</t>
        </is>
      </c>
    </row>
    <row r="414">
      <c r="A414" t="inlineStr">
        <is>
          <t xml:space="preserve">    ThisWorkbook.Worksheets("Outlook E-posta").Shapes("Outlook PDF Düğmesi").OnAction = "'" &amp; ThisWorkbook.Name &amp; "'!TeklifiOutlookPDFTaslakV1"</t>
        </is>
      </c>
    </row>
    <row r="415">
      <c r="A415" t="inlineStr">
        <is>
          <t xml:space="preserve">    MsgBox "Outlook PDF düğmesi hazır.", vbInformation</t>
        </is>
      </c>
    </row>
    <row r="416">
      <c r="A416" t="inlineStr">
        <is>
          <t xml:space="preserve">    Exit Sub</t>
        </is>
      </c>
    </row>
    <row r="417">
      <c r="A417" t="inlineStr">
        <is>
          <t>Hata:</t>
        </is>
      </c>
    </row>
    <row r="418">
      <c r="A418" t="inlineStr">
        <is>
          <t xml:space="preserve">    MsgBox "Outlook düğmesi bağlanamadı: " &amp; Err.Description, vbExclamation</t>
        </is>
      </c>
    </row>
    <row r="419">
      <c r="A419" t="inlineStr">
        <is>
          <t>End Sub</t>
        </is>
      </c>
    </row>
    <row r="421">
      <c r="A421" t="inlineStr">
        <is>
          <t>Public Sub OutlookPDFTestiV1()</t>
        </is>
      </c>
    </row>
    <row r="422">
      <c r="A422" t="inlineStr">
        <is>
          <t xml:space="preserve">    TeklifiOutlookPDFTaslakV1</t>
        </is>
      </c>
    </row>
    <row r="423">
      <c r="A423" t="inlineStr">
        <is>
          <t>End Sub</t>
        </is>
      </c>
    </row>
    <row r="425">
      <c r="A425" t="inlineStr">
        <is>
          <t>Private Sub OutlookKlasorOlusturV1(ByVal yol As String)</t>
        </is>
      </c>
    </row>
    <row r="426">
      <c r="A426" t="inlineStr">
        <is>
          <t xml:space="preserve">    If Len(Dir$(yol, vbDirectory)) = 0 Then MkDir yol</t>
        </is>
      </c>
    </row>
    <row r="427">
      <c r="A427" t="inlineStr">
        <is>
          <t>End Sub</t>
        </is>
      </c>
    </row>
    <row r="429">
      <c r="A429" t="inlineStr">
        <is>
          <t>Private Function OutlookDosyaAdiTemizleV1(ByVal metin As String) As String</t>
        </is>
      </c>
    </row>
    <row r="430">
      <c r="A430" t="inlineStr">
        <is>
          <t xml:space="preserve">    Dim yasak As Variant, x As Variant</t>
        </is>
      </c>
    </row>
    <row r="431">
      <c r="A431" t="inlineStr">
        <is>
          <t xml:space="preserve">    yasak = Array("\", "/", ":", "*", "?", Chr$(34), "&lt;", "&gt;", "|")</t>
        </is>
      </c>
    </row>
    <row r="432">
      <c r="A432" t="inlineStr">
        <is>
          <t xml:space="preserve">    For Each x In yasak</t>
        </is>
      </c>
    </row>
    <row r="433">
      <c r="A433" t="inlineStr">
        <is>
          <t xml:space="preserve">        metin = Replace(metin, CStr(x), "-")</t>
        </is>
      </c>
    </row>
    <row r="434">
      <c r="A434" t="inlineStr">
        <is>
          <t xml:space="preserve">    Next x</t>
        </is>
      </c>
    </row>
    <row r="435">
      <c r="A435" t="inlineStr">
        <is>
          <t xml:space="preserve">    OutlookDosyaAdiTemizleV1 = Trim$(metin)</t>
        </is>
      </c>
    </row>
    <row r="436">
      <c r="A436" t="inlineStr">
        <is>
          <t>End Function</t>
        </is>
      </c>
    </row>
    <row r="438">
      <c r="A438" t="inlineStr">
        <is>
          <t>Private Sub SetForegroundWindowOutlookV1(ByVal posta As Object)</t>
        </is>
      </c>
    </row>
    <row r="439">
      <c r="A439" t="inlineStr">
        <is>
          <t xml:space="preserve">    On Error Resume Next</t>
        </is>
      </c>
    </row>
    <row r="440">
      <c r="A440" t="inlineStr">
        <is>
          <t xml:space="preserve">    posta.GetInspector.Activate</t>
        </is>
      </c>
    </row>
    <row r="441">
      <c r="A441" t="inlineStr">
        <is>
          <t>End Sub</t>
        </is>
      </c>
    </row>
    <row r="443">
      <c r="A443" s="182" t="inlineStr">
        <is>
          <t>OUTLOOK PDF E-POSTA MAKROSU — KURULUM</t>
        </is>
      </c>
    </row>
    <row r="444">
      <c r="A444" t="inlineStr">
        <is>
          <t>A350:A441 kodunu yeni standart VBA modülüne yapıştırın; OutlookDugmesiniBaglaV1 ve OutlookPDFTestiV1 makrolarını çalıştırın.</t>
        </is>
      </c>
    </row>
    <row r="450">
      <c r="A450" t="inlineStr">
        <is>
          <t>Option Explicit</t>
        </is>
      </c>
    </row>
    <row r="452">
      <c r="A452" t="inlineStr">
        <is>
          <t>Private Const YONETIM_SURUMU As String = "2026.09.27-v2"</t>
        </is>
      </c>
    </row>
    <row r="454">
      <c r="A454" t="inlineStr">
        <is>
          <t>Public Sub YeniTeklifV2()</t>
        </is>
      </c>
    </row>
    <row r="455">
      <c r="A455" t="inlineStr">
        <is>
          <t xml:space="preserve">    On Error GoTo Hata</t>
        </is>
      </c>
    </row>
    <row r="456">
      <c r="A456" t="inlineStr">
        <is>
          <t xml:space="preserve">    Dim f As Worksheet, a As Worksheet, sira As Long, onEk As String, no As String, hataNo As Long, hataAciklama As String</t>
        </is>
      </c>
    </row>
    <row r="457">
      <c r="A457" t="inlineStr">
        <is>
          <t xml:space="preserve">    Set f = ThisWorkbook.Worksheets("Teklif Formu")</t>
        </is>
      </c>
    </row>
    <row r="458">
      <c r="A458" t="inlineStr">
        <is>
          <t xml:space="preserve">    Set a = ThisWorkbook.Worksheets("Ayarlar")</t>
        </is>
      </c>
    </row>
    <row r="459">
      <c r="A459" t="inlineStr">
        <is>
          <t xml:space="preserve">    f.Unprotect Password:=""</t>
        </is>
      </c>
    </row>
    <row r="460">
      <c r="A460" t="inlineStr">
        <is>
          <t xml:space="preserve">    sira = CLng(Val(a.Range("B6").Value))</t>
        </is>
      </c>
    </row>
    <row r="461">
      <c r="A461" t="inlineStr">
        <is>
          <t xml:space="preserve">    onEk = Trim$(CStr(a.Range("B5").Value))</t>
        </is>
      </c>
    </row>
    <row r="462">
      <c r="A462" t="inlineStr">
        <is>
          <t xml:space="preserve">    Do</t>
        </is>
      </c>
    </row>
    <row r="463">
      <c r="A463" t="inlineStr">
        <is>
          <t xml:space="preserve">        sira = sira + 1</t>
        </is>
      </c>
    </row>
    <row r="464">
      <c r="A464" t="inlineStr">
        <is>
          <t xml:space="preserve">        no = onEk &amp; "-" &amp; Year(Date) &amp; "-" &amp; Format$(sira, "0000")</t>
        </is>
      </c>
    </row>
    <row r="465">
      <c r="A465" t="inlineStr">
        <is>
          <t xml:space="preserve">    Loop While TeklifNoArsivdeVarV2(no)</t>
        </is>
      </c>
    </row>
    <row r="466">
      <c r="A466" t="inlineStr">
        <is>
          <t xml:space="preserve">    a.Range("B6").Value = sira</t>
        </is>
      </c>
    </row>
    <row r="467">
      <c r="A467" t="inlineStr">
        <is>
          <t xml:space="preserve">    f.Range("J3").Value = no</t>
        </is>
      </c>
    </row>
    <row r="468">
      <c r="A468" t="inlineStr">
        <is>
          <t xml:space="preserve">    f.Range("J4").Value = Date</t>
        </is>
      </c>
    </row>
    <row r="469">
      <c r="A469" t="inlineStr">
        <is>
          <t xml:space="preserve">    f.Range("D3:G3").ClearContents</t>
        </is>
      </c>
    </row>
    <row r="470">
      <c r="A470" t="inlineStr">
        <is>
          <t xml:space="preserve">    f.Range("A8:A30,D8:E30").ClearContents</t>
        </is>
      </c>
    </row>
    <row r="471">
      <c r="A471" t="inlineStr">
        <is>
          <t xml:space="preserve">    f.Range("G8:G30").Value = a.Range("B8").Value</t>
        </is>
      </c>
    </row>
    <row r="472">
      <c r="A472" t="inlineStr">
        <is>
          <t xml:space="preserve">    f.Range("I8:I30").Value = "TRY"</t>
        </is>
      </c>
    </row>
    <row r="473">
      <c r="A473" t="inlineStr">
        <is>
          <t xml:space="preserve">    f.Range("A35").Value = "Teklife ilişkin açıklamalarınızı buraya yazınız."</t>
        </is>
      </c>
    </row>
    <row r="474">
      <c r="A474" t="inlineStr">
        <is>
          <t xml:space="preserve">    ThisWorkbook.Worksheets("Teklif Yönetimi").Range("G6").Value = "Taslak"</t>
        </is>
      </c>
    </row>
    <row r="475">
      <c r="A475" t="inlineStr">
        <is>
          <t xml:space="preserve">    TeklifIslemLoguV2 "Yeni teklif", no, "Başarılı", ""</t>
        </is>
      </c>
    </row>
    <row r="476">
      <c r="A476" t="inlineStr">
        <is>
          <t xml:space="preserve">    f.Protect Password:="", UserInterfaceOnly:=True, AllowFiltering:=True</t>
        </is>
      </c>
    </row>
    <row r="477">
      <c r="A477" t="inlineStr">
        <is>
          <t xml:space="preserve">    MsgBox "Yeni teklif hazır: " &amp; no &amp; vbCrLf &amp; "Sürüm: " &amp; YONETIM_SURUMU, vbInformation</t>
        </is>
      </c>
    </row>
    <row r="478">
      <c r="A478" t="inlineStr">
        <is>
          <t xml:space="preserve">    Exit Sub</t>
        </is>
      </c>
    </row>
    <row r="479">
      <c r="A479" t="inlineStr">
        <is>
          <t>Hata: hataNo = Err.Number: hataAciklama = Err.Description</t>
        </is>
      </c>
    </row>
    <row r="480">
      <c r="A480" t="inlineStr">
        <is>
          <t xml:space="preserve">    On Error Resume Next</t>
        </is>
      </c>
    </row>
    <row r="481">
      <c r="A481" t="inlineStr">
        <is>
          <t xml:space="preserve">    f.Protect Password:="", UserInterfaceOnly:=True, AllowFiltering:=True</t>
        </is>
      </c>
    </row>
    <row r="482">
      <c r="A482" t="inlineStr">
        <is>
          <t xml:space="preserve">    MsgBox "Yeni teklif oluşturulamadı. Hata " &amp; hataNo &amp; ": " &amp; hataAciklama, vbExclamation</t>
        </is>
      </c>
    </row>
    <row r="483">
      <c r="A483" t="inlineStr">
        <is>
          <t>End Sub</t>
        </is>
      </c>
    </row>
    <row r="485">
      <c r="A485" t="inlineStr">
        <is>
          <t>Public Sub TeklifiArsivleV2()</t>
        </is>
      </c>
    </row>
    <row r="486">
      <c r="A486" t="inlineStr">
        <is>
          <t xml:space="preserve">    On Error GoTo Hata</t>
        </is>
      </c>
    </row>
    <row r="487">
      <c r="A487" t="inlineStr">
        <is>
          <t xml:space="preserve">    Dim f As Worksheet, a As Worksheet, t As ListObject, lr As ListRow</t>
        </is>
      </c>
    </row>
    <row r="488">
      <c r="A488" t="inlineStr">
        <is>
          <t xml:space="preserve">    Dim no As String, durum As String</t>
        </is>
      </c>
    </row>
    <row r="489">
      <c r="A489" t="inlineStr">
        <is>
          <t xml:space="preserve">    Set f = ThisWorkbook.Worksheets("Teklif Formu")</t>
        </is>
      </c>
    </row>
    <row r="490">
      <c r="A490" t="inlineStr">
        <is>
          <t xml:space="preserve">    Set a = ThisWorkbook.Worksheets("Teklif Arşivi")</t>
        </is>
      </c>
    </row>
    <row r="491">
      <c r="A491" t="inlineStr">
        <is>
          <t xml:space="preserve">    Set t = a.ListObjects("tblTeklifArsivi")</t>
        </is>
      </c>
    </row>
    <row r="492">
      <c r="A492" t="inlineStr">
        <is>
          <t xml:space="preserve">    no = Trim$(CStr(f.Range("J3").Text))</t>
        </is>
      </c>
    </row>
    <row r="493">
      <c r="A493" t="inlineStr">
        <is>
          <t xml:space="preserve">    If Len(no) = 0 Then Err.Raise vbObjectError + 501, , "Teklif numarası boş."</t>
        </is>
      </c>
    </row>
    <row r="494">
      <c r="A494" t="inlineStr">
        <is>
          <t xml:space="preserve">    If Len(Trim$(CStr(f.Range("D3").Text))) = 0 Then Err.Raise vbObjectError + 502, , "Müşteri bilgisi boş."</t>
        </is>
      </c>
    </row>
    <row r="495">
      <c r="A495" t="inlineStr">
        <is>
          <t xml:space="preserve">    If WorksheetFunction.CountIf(f.Range("A8:A30"), "&lt;&gt;") = 0 Then Err.Raise vbObjectError + 503, , "Teklif kalemi bulunmuyor."</t>
        </is>
      </c>
    </row>
    <row r="496">
      <c r="A496" t="inlineStr">
        <is>
          <t xml:space="preserve">    If TeklifNoArsivdeVarV2(no) Then Err.Raise vbObjectError + 504, , "Bu teklif numarası daha önce arşivlenmiş."</t>
        </is>
      </c>
    </row>
    <row r="497">
      <c r="A497" t="inlineStr">
        <is>
          <t xml:space="preserve">    durum = CStr(ThisWorkbook.Worksheets("Teklif Yönetimi").Range("G6").Value)</t>
        </is>
      </c>
    </row>
    <row r="498">
      <c r="A498" t="inlineStr">
        <is>
          <t xml:space="preserve">    If Len(durum) = 0 Then durum = "Taslak"</t>
        </is>
      </c>
    </row>
    <row r="499">
      <c r="A499" t="inlineStr">
        <is>
          <t xml:space="preserve">    Set lr = t.ListRows.Add</t>
        </is>
      </c>
    </row>
    <row r="500">
      <c r="A500" t="inlineStr">
        <is>
          <t xml:space="preserve">    With lr.Range</t>
        </is>
      </c>
    </row>
    <row r="501">
      <c r="A501" t="inlineStr">
        <is>
          <t xml:space="preserve">        .Cells(1, 1).Value = no</t>
        </is>
      </c>
    </row>
    <row r="502">
      <c r="A502" t="inlineStr">
        <is>
          <t xml:space="preserve">        .Cells(1, 2).Value = f.Range("J4").Value</t>
        </is>
      </c>
    </row>
    <row r="503">
      <c r="A503" t="inlineStr">
        <is>
          <t xml:space="preserve">        .Cells(1, 3).Value = f.Range("D3").Value</t>
        </is>
      </c>
    </row>
    <row r="504">
      <c r="A504" t="inlineStr">
        <is>
          <t xml:space="preserve">        .Cells(1, 4).Value = f.Range("K33").Value</t>
        </is>
      </c>
    </row>
    <row r="505">
      <c r="A505" t="inlineStr">
        <is>
          <t xml:space="preserve">        .Cells(1, 5).Value = durum</t>
        </is>
      </c>
    </row>
    <row r="506">
      <c r="A506" t="inlineStr">
        <is>
          <t xml:space="preserve">        .Cells(1, 6).Value = f.Range("J5").Value</t>
        </is>
      </c>
    </row>
    <row r="507">
      <c r="A507" t="inlineStr">
        <is>
          <t xml:space="preserve">        .Cells(1, 7).Value = Date + 7</t>
        </is>
      </c>
    </row>
    <row r="508">
      <c r="A508" t="inlineStr">
        <is>
          <t xml:space="preserve">        .Cells(1, 8).Value = 0.25</t>
        </is>
      </c>
    </row>
    <row r="509">
      <c r="A509" t="inlineStr">
        <is>
          <t xml:space="preserve">        .Cells(1, 9).Value = ""</t>
        </is>
      </c>
    </row>
    <row r="510">
      <c r="A510" t="inlineStr">
        <is>
          <t xml:space="preserve">        .Cells(1, 10).Value = Application.UserName</t>
        </is>
      </c>
    </row>
    <row r="511">
      <c r="A511" t="inlineStr">
        <is>
          <t xml:space="preserve">        .Cells(1, 11).Value = f.Range("A35").Value</t>
        </is>
      </c>
    </row>
    <row r="512">
      <c r="A512" t="inlineStr">
        <is>
          <t xml:space="preserve">    End With</t>
        </is>
      </c>
    </row>
    <row r="513">
      <c r="A513" t="inlineStr">
        <is>
          <t xml:space="preserve">    TeklifIslemLoguV2 "Teklif arşivlendi", no, "Başarılı", ""</t>
        </is>
      </c>
    </row>
    <row r="514">
      <c r="A514" t="inlineStr">
        <is>
          <t xml:space="preserve">    MsgBox "Teklif arşivlendi: " &amp; no, vbInformation</t>
        </is>
      </c>
    </row>
    <row r="515">
      <c r="A515" t="inlineStr">
        <is>
          <t xml:space="preserve">    Exit Sub</t>
        </is>
      </c>
    </row>
    <row r="516">
      <c r="A516" t="inlineStr">
        <is>
          <t>Hata:</t>
        </is>
      </c>
    </row>
    <row r="517">
      <c r="A517" t="inlineStr">
        <is>
          <t xml:space="preserve">    MsgBox "Teklif arşivlenemedi. Hata " &amp; Err.Number &amp; ": " &amp; Err.Description, vbExclamation</t>
        </is>
      </c>
    </row>
    <row r="518">
      <c r="A518" t="inlineStr">
        <is>
          <t>End Sub</t>
        </is>
      </c>
    </row>
    <row r="520">
      <c r="A520" t="inlineStr">
        <is>
          <t>Public Sub TeklifiFaturayaAktarV2()</t>
        </is>
      </c>
    </row>
    <row r="521">
      <c r="A521" t="inlineStr">
        <is>
          <t xml:space="preserve">    On Error GoTo Hata</t>
        </is>
      </c>
    </row>
    <row r="522">
      <c r="A522" t="inlineStr">
        <is>
          <t xml:space="preserve">    Dim kaynak As Worksheet, hedef As Worksheet, no As String</t>
        </is>
      </c>
    </row>
    <row r="523">
      <c r="A523" t="inlineStr">
        <is>
          <t xml:space="preserve">    Set kaynak = ThisWorkbook.Worksheets("Teklif Formu")</t>
        </is>
      </c>
    </row>
    <row r="524">
      <c r="A524" t="inlineStr">
        <is>
          <t xml:space="preserve">    Set hedef = ThisWorkbook.Worksheets("Fatura")</t>
        </is>
      </c>
    </row>
    <row r="525">
      <c r="A525" t="inlineStr">
        <is>
          <t xml:space="preserve">    no = CStr(kaynak.Range("J3").Text)</t>
        </is>
      </c>
    </row>
    <row r="526">
      <c r="A526" t="inlineStr">
        <is>
          <t xml:space="preserve">    hedef.Unprotect Password:=""</t>
        </is>
      </c>
    </row>
    <row r="527">
      <c r="A527" t="inlineStr">
        <is>
          <t xml:space="preserve">    kaynak.Range("A1:K40").Copy</t>
        </is>
      </c>
    </row>
    <row r="528">
      <c r="A528" t="inlineStr">
        <is>
          <t xml:space="preserve">    hedef.Range("A1").PasteSpecial xlPasteAll</t>
        </is>
      </c>
    </row>
    <row r="529">
      <c r="A529" t="inlineStr">
        <is>
          <t xml:space="preserve">    Application.CutCopyMode = False</t>
        </is>
      </c>
    </row>
    <row r="530">
      <c r="A530" t="inlineStr">
        <is>
          <t xml:space="preserve">    ' İkinci PasteSpecial kaldırıldı; birleşik hücrelerde 1004 hatasını önler.</t>
        </is>
      </c>
    </row>
    <row r="531">
      <c r="A531" t="inlineStr">
        <is>
          <t xml:space="preserve">    hedef.Range("B1").Value = "FATURA TASLAĞI"</t>
        </is>
      </c>
    </row>
    <row r="532">
      <c r="A532" t="inlineStr">
        <is>
          <t xml:space="preserve">    hedef.Range("H3").Value = "Fatura No"</t>
        </is>
      </c>
    </row>
    <row r="533">
      <c r="A533" t="inlineStr">
        <is>
          <t xml:space="preserve">    hedef.Range("J3").Value = Replace(no, "TKL-", "FTR-")</t>
        </is>
      </c>
    </row>
    <row r="534">
      <c r="A534" t="inlineStr">
        <is>
          <t xml:space="preserve">    With hedef.PageSetup</t>
        </is>
      </c>
    </row>
    <row r="535">
      <c r="A535" t="inlineStr">
        <is>
          <t xml:space="preserve">        .PrintArea = "$A$1:$K$40"</t>
        </is>
      </c>
    </row>
    <row r="536">
      <c r="A536" t="inlineStr">
        <is>
          <t xml:space="preserve">        .Orientation = xlPortrait</t>
        </is>
      </c>
    </row>
    <row r="537">
      <c r="A537" t="inlineStr">
        <is>
          <t xml:space="preserve">        .PaperSize = xlPaperA4</t>
        </is>
      </c>
    </row>
    <row r="538">
      <c r="A538" t="inlineStr">
        <is>
          <t xml:space="preserve">        .Zoom = False</t>
        </is>
      </c>
    </row>
    <row r="539">
      <c r="A539" t="inlineStr">
        <is>
          <t xml:space="preserve">        .FitToPagesWide = 1</t>
        </is>
      </c>
    </row>
    <row r="540">
      <c r="A540" t="inlineStr">
        <is>
          <t xml:space="preserve">        .FitToPagesTall = 1</t>
        </is>
      </c>
    </row>
    <row r="541">
      <c r="A541" t="inlineStr">
        <is>
          <t xml:space="preserve">    End With</t>
        </is>
      </c>
    </row>
    <row r="542">
      <c r="A542" t="inlineStr">
        <is>
          <t xml:space="preserve">    TeklifIslemLoguV2 "Faturaya aktarıldı", no, "Başarılı", ""</t>
        </is>
      </c>
    </row>
    <row r="543">
      <c r="A543" t="inlineStr">
        <is>
          <t xml:space="preserve">    hedef.Activate</t>
        </is>
      </c>
    </row>
    <row r="544">
      <c r="A544" t="inlineStr">
        <is>
          <t xml:space="preserve">    MsgBox "Teklif fatura taslağına aktarıldı.", vbInformation</t>
        </is>
      </c>
    </row>
    <row r="545">
      <c r="A545" t="inlineStr">
        <is>
          <t xml:space="preserve">    Exit Sub</t>
        </is>
      </c>
    </row>
    <row r="546">
      <c r="A546" t="inlineStr">
        <is>
          <t>Hata:</t>
        </is>
      </c>
    </row>
    <row r="547">
      <c r="A547" t="inlineStr">
        <is>
          <t xml:space="preserve">    MsgBox "Faturaya aktarma başarısız. Hata " &amp; Err.Number &amp; ": " &amp; Err.Description, vbExclamation</t>
        </is>
      </c>
    </row>
    <row r="548">
      <c r="A548" t="inlineStr">
        <is>
          <t>End Sub</t>
        </is>
      </c>
    </row>
    <row r="550">
      <c r="A550" t="inlineStr">
        <is>
          <t>Public Sub YonetimDugmeleriniBaglaV2()</t>
        </is>
      </c>
    </row>
    <row r="551">
      <c r="A551" t="inlineStr">
        <is>
          <t xml:space="preserve">    On Error GoTo Hata</t>
        </is>
      </c>
    </row>
    <row r="552">
      <c r="A552" t="inlineStr">
        <is>
          <t xml:space="preserve">    Dim ws As Worksheet, kitap As String</t>
        </is>
      </c>
    </row>
    <row r="553">
      <c r="A553" t="inlineStr">
        <is>
          <t xml:space="preserve">    Set ws = ThisWorkbook.Worksheets("Teklif Yönetimi")</t>
        </is>
      </c>
    </row>
    <row r="554">
      <c r="A554" t="inlineStr">
        <is>
          <t xml:space="preserve">    kitap = "'" &amp; ThisWorkbook.Name &amp; "'!"</t>
        </is>
      </c>
    </row>
    <row r="555">
      <c r="A555" t="inlineStr">
        <is>
          <t xml:space="preserve">    ws.Shapes("Yeni Teklif Düğmesi").OnAction = kitap &amp; "YeniTeklifV2"</t>
        </is>
      </c>
    </row>
    <row r="556">
      <c r="A556" t="inlineStr">
        <is>
          <t xml:space="preserve">    ws.Shapes("Arşivle Düğmesi").OnAction = kitap &amp; "TeklifiArsivleV2"</t>
        </is>
      </c>
    </row>
    <row r="557">
      <c r="A557" t="inlineStr">
        <is>
          <t xml:space="preserve">    ws.Shapes("Faturaya Aktar Düğmesi").OnAction = kitap &amp; "TeklifiFaturayaAktarV2"</t>
        </is>
      </c>
    </row>
    <row r="558">
      <c r="A558" t="inlineStr">
        <is>
          <t xml:space="preserve">    ws.Shapes("Yönetim PDF Düğmesi").OnAction = kitap &amp; "TeklifiMasaustunePDFKaydetV2"</t>
        </is>
      </c>
    </row>
    <row r="559">
      <c r="A559" t="inlineStr">
        <is>
          <t xml:space="preserve">    ws.Shapes("Yönetim Outlook Düğmesi").OnAction = kitap &amp; "TeklifiOutlookPDFTaslakV1"</t>
        </is>
      </c>
    </row>
    <row r="560">
      <c r="A560" t="inlineStr">
        <is>
          <t xml:space="preserve">    ws.Shapes("Formülleri Koru Düğmesi").OnAction = kitap &amp; "TeklifSayfasiniKoruV2"</t>
        </is>
      </c>
    </row>
    <row r="561">
      <c r="A561" t="inlineStr">
        <is>
          <t xml:space="preserve">    ws.Range("A8").Value = "Sistem kontrolü: 6 yönetim düğmesi bağlı ve hazır"</t>
        </is>
      </c>
    </row>
    <row r="562">
      <c r="A562" t="inlineStr">
        <is>
          <t xml:space="preserve">    Exit Sub</t>
        </is>
      </c>
    </row>
    <row r="563">
      <c r="A563" t="inlineStr">
        <is>
          <t>Hata:</t>
        </is>
      </c>
    </row>
    <row r="564">
      <c r="A564" t="inlineStr">
        <is>
          <t xml:space="preserve">    MsgBox "Yönetim düğmeleri bağlanamadı: " &amp; Err.Description, vbExclamation</t>
        </is>
      </c>
    </row>
    <row r="565">
      <c r="A565" t="inlineStr">
        <is>
          <t>End Sub</t>
        </is>
      </c>
    </row>
    <row r="567">
      <c r="A567" t="inlineStr">
        <is>
          <t>Public Sub TeklifSayfasiniKoruV2()</t>
        </is>
      </c>
    </row>
    <row r="568">
      <c r="A568" t="inlineStr">
        <is>
          <t xml:space="preserve">    On Error GoTo Hata</t>
        </is>
      </c>
    </row>
    <row r="569">
      <c r="A569" t="inlineStr">
        <is>
          <t xml:space="preserve">    Dim ws As Worksheet</t>
        </is>
      </c>
    </row>
    <row r="570">
      <c r="A570" t="inlineStr">
        <is>
          <t xml:space="preserve">    Set ws = ThisWorkbook.Worksheets("Teklif Formu")</t>
        </is>
      </c>
    </row>
    <row r="571">
      <c r="A571" t="inlineStr">
        <is>
          <t xml:space="preserve">    ws.Unprotect Password:=""</t>
        </is>
      </c>
    </row>
    <row r="572">
      <c r="A572" t="inlineStr">
        <is>
          <t xml:space="preserve">    ws.Cells.Locked = True</t>
        </is>
      </c>
    </row>
    <row r="573">
      <c r="A573" t="inlineStr">
        <is>
          <t xml:space="preserve">    ws.Range("D3:G3,J3:K4,A8:A30,D8:E30,G8:G30,I8:I30,A35:F39").Locked = False</t>
        </is>
      </c>
    </row>
    <row r="574">
      <c r="A574" t="inlineStr">
        <is>
          <t xml:space="preserve">    ws.Protect Password:="", UserInterfaceOnly:=True, AllowFiltering:=True</t>
        </is>
      </c>
    </row>
    <row r="575">
      <c r="A575" t="inlineStr">
        <is>
          <t xml:space="preserve">    ws.EnableSelection = xlUnlockedCells</t>
        </is>
      </c>
    </row>
    <row r="576">
      <c r="A576" t="inlineStr">
        <is>
          <t xml:space="preserve">    MsgBox "Formüller korundu; giriş hücreleri açık.", vbInformation</t>
        </is>
      </c>
    </row>
    <row r="577">
      <c r="A577" t="inlineStr">
        <is>
          <t xml:space="preserve">    Exit Sub</t>
        </is>
      </c>
    </row>
    <row r="578">
      <c r="A578" t="inlineStr">
        <is>
          <t>Hata:</t>
        </is>
      </c>
    </row>
    <row r="579">
      <c r="A579" t="inlineStr">
        <is>
          <t xml:space="preserve">    MsgBox "Sayfa koruması uygulanamadı: " &amp; Err.Description, vbExclamation</t>
        </is>
      </c>
    </row>
    <row r="580">
      <c r="A580" t="inlineStr">
        <is>
          <t>End Sub</t>
        </is>
      </c>
    </row>
    <row r="582">
      <c r="A582" t="inlineStr">
        <is>
          <t>Public Sub TeklifSayfasiKorumasiniKaldirV2()</t>
        </is>
      </c>
    </row>
    <row r="583">
      <c r="A583" t="inlineStr">
        <is>
          <t xml:space="preserve">    ThisWorkbook.Worksheets("Teklif Formu").Unprotect Password:=""</t>
        </is>
      </c>
    </row>
    <row r="584">
      <c r="A584" t="inlineStr">
        <is>
          <t xml:space="preserve">    MsgBox "Teklif Formu koruması kaldırıldı.", vbInformation</t>
        </is>
      </c>
    </row>
    <row r="585">
      <c r="A585" t="inlineStr">
        <is>
          <t>End Sub</t>
        </is>
      </c>
    </row>
    <row r="587">
      <c r="A587" t="inlineStr">
        <is>
          <t>Public Sub TeklifIslemLoguV2(ByVal islem As String, ByVal teklifNo As String, ByVal sonuc As String, ByVal dosyaYolu As String)</t>
        </is>
      </c>
    </row>
    <row r="588">
      <c r="A588" t="inlineStr">
        <is>
          <t xml:space="preserve">    Dim t As ListObject, lr As ListRow, f As Worksheet</t>
        </is>
      </c>
    </row>
    <row r="589">
      <c r="A589" t="inlineStr">
        <is>
          <t xml:space="preserve">    Set t = ThisWorkbook.Worksheets("İşlem Günlüğü").ListObjects("tblIslemGunlugu")</t>
        </is>
      </c>
    </row>
    <row r="590">
      <c r="A590" t="inlineStr">
        <is>
          <t xml:space="preserve">    Set f = ThisWorkbook.Worksheets("Teklif Formu")</t>
        </is>
      </c>
    </row>
    <row r="591">
      <c r="A591" s="182" t="inlineStr">
        <is>
          <t xml:space="preserve">    Set lr = t.ListRows.Add</t>
        </is>
      </c>
      <c r="B591" s="182" t="n"/>
      <c r="C591" s="182" t="n"/>
      <c r="D591" s="182" t="n"/>
      <c r="E591" s="182" t="n"/>
      <c r="F591" s="182" t="n"/>
    </row>
    <row r="592">
      <c r="A592" t="inlineStr">
        <is>
          <t xml:space="preserve">    With lr.Range</t>
        </is>
      </c>
    </row>
    <row r="593">
      <c r="A593" t="inlineStr">
        <is>
          <t xml:space="preserve">        .Cells(1, 1).Value = Now</t>
        </is>
      </c>
    </row>
    <row r="594">
      <c r="A594" t="inlineStr">
        <is>
          <t xml:space="preserve">        .Cells(1, 2).Value = islem</t>
        </is>
      </c>
    </row>
    <row r="595">
      <c r="A595" t="inlineStr">
        <is>
          <t xml:space="preserve">        .Cells(1, 3).Value = teklifNo</t>
        </is>
      </c>
    </row>
    <row r="596">
      <c r="A596" t="inlineStr">
        <is>
          <t xml:space="preserve">        .Cells(1, 4).Value = f.Range("D3").Value</t>
        </is>
      </c>
    </row>
    <row r="597">
      <c r="A597" t="inlineStr">
        <is>
          <t xml:space="preserve">        .Cells(1, 5).Value = dosyaYolu</t>
        </is>
      </c>
    </row>
    <row r="598">
      <c r="A598" t="inlineStr">
        <is>
          <t xml:space="preserve">        .Cells(1, 6).Value = sonuc</t>
        </is>
      </c>
    </row>
    <row r="599">
      <c r="A599" t="inlineStr">
        <is>
          <t xml:space="preserve">    End With</t>
        </is>
      </c>
    </row>
    <row r="600">
      <c r="A600" t="inlineStr">
        <is>
          <t>End Sub</t>
        </is>
      </c>
    </row>
    <row r="602">
      <c r="A602" t="inlineStr">
        <is>
          <t>Private Function TeklifNoArsivdeVarV2(ByVal no As String) As Boolean</t>
        </is>
      </c>
    </row>
    <row r="603">
      <c r="A603" t="inlineStr">
        <is>
          <t xml:space="preserve">    Dim t As ListObject</t>
        </is>
      </c>
    </row>
    <row r="604">
      <c r="A604" t="inlineStr">
        <is>
          <t xml:space="preserve">    Set t = ThisWorkbook.Worksheets("Teklif Arşivi").ListObjects("tblTeklifArsivi")</t>
        </is>
      </c>
    </row>
    <row r="605">
      <c r="A605" t="inlineStr">
        <is>
          <t xml:space="preserve">    If t.DataBodyRange Is Nothing Then Exit Function</t>
        </is>
      </c>
    </row>
    <row r="606">
      <c r="A606" t="inlineStr">
        <is>
          <t xml:space="preserve">    TeklifNoArsivdeVarV2 = (WorksheetFunction.CountIf(t.ListColumns("Teklif No").DataBodyRange, no) &gt; 0)</t>
        </is>
      </c>
    </row>
    <row r="607">
      <c r="A607" t="inlineStr">
        <is>
          <t>End Function</t>
        </is>
      </c>
    </row>
    <row r="610">
      <c r="A610" s="182" t="inlineStr">
        <is>
          <t>TEKLİF YÖNETİMİ — GÜNCEL KURULUM v2</t>
        </is>
      </c>
    </row>
    <row r="611">
      <c r="A611" t="inlineStr">
        <is>
          <t>A450:A607 kodunu yönetim modülündeki eski kodla değiştirin; ardından YonetimDugmeleriniBaglaV2 çalıştırın.</t>
        </is>
      </c>
    </row>
  </sheetData>
  <mergeCells count="18">
    <mergeCell ref="A82:F83"/>
    <mergeCell ref="A443:F443"/>
    <mergeCell ref="A345:F345"/>
    <mergeCell ref="C258:F258"/>
    <mergeCell ref="A610:F610"/>
    <mergeCell ref="A237:F237"/>
    <mergeCell ref="A444:F444"/>
    <mergeCell ref="A1:F1"/>
    <mergeCell ref="A5:F5"/>
    <mergeCell ref="C256:F256"/>
    <mergeCell ref="C257:F257"/>
    <mergeCell ref="A236:F236"/>
    <mergeCell ref="A74:F74"/>
    <mergeCell ref="A611:F611"/>
    <mergeCell ref="A3:F3"/>
    <mergeCell ref="A346:F346"/>
    <mergeCell ref="A86:F86"/>
    <mergeCell ref="A87:F8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ayfa6">
    <outlinePr summaryBelow="1" summaryRight="1"/>
    <pageSetUpPr/>
  </sheetPr>
  <dimension ref="A1:H26"/>
  <sheetViews>
    <sheetView topLeftCell="A4" workbookViewId="0">
      <selection activeCell="B14" sqref="B14:G16"/>
    </sheetView>
  </sheetViews>
  <sheetFormatPr baseColWidth="8" defaultRowHeight="15"/>
  <cols>
    <col width="14.28515625" customWidth="1" style="164" min="1" max="1"/>
    <col width="17.140625" customWidth="1" style="164" min="2" max="7"/>
    <col width="14.28515625" customWidth="1" style="164" min="8" max="8"/>
  </cols>
  <sheetData>
    <row r="1" ht="33.95" customHeight="1" s="164">
      <c r="A1" s="185" t="inlineStr">
        <is>
          <t>TEKLİFİ PDF OLARAK KAYDET</t>
        </is>
      </c>
    </row>
    <row r="2" ht="33.95" customHeight="1" s="164"/>
    <row r="3" ht="21.95" customHeight="1" s="164">
      <c r="A3" s="186" t="inlineStr">
        <is>
          <t>Teklif formunu A4 dikey tek sayfa PDF olarak Masaüstü &gt; Teklifler &gt; PDF klasörüne kaydeder.</t>
        </is>
      </c>
    </row>
    <row r="4" ht="21.95" customHeight="1" s="164">
      <c r="A4" s="41" t="n"/>
      <c r="B4" s="41" t="n"/>
      <c r="C4" s="41" t="n"/>
      <c r="D4" s="41" t="n"/>
      <c r="E4" s="41" t="n"/>
      <c r="F4" s="41" t="n"/>
      <c r="G4" s="41" t="n"/>
      <c r="H4" s="41" t="n"/>
    </row>
    <row r="5" ht="21.95" customHeight="1" s="164" thickBot="1">
      <c r="A5" s="41" t="n"/>
      <c r="B5" s="41" t="n"/>
      <c r="C5" s="41" t="n"/>
      <c r="D5" s="41" t="n"/>
      <c r="E5" s="41" t="n"/>
      <c r="F5" s="41" t="n"/>
      <c r="G5" s="41" t="n"/>
      <c r="H5" s="41" t="n"/>
    </row>
    <row r="6" ht="21.95" customHeight="1" s="164" thickTop="1">
      <c r="A6" s="41" t="n"/>
      <c r="B6" s="289" t="inlineStr">
        <is>
          <t>PDF OLARAK KAYDET</t>
        </is>
      </c>
      <c r="C6" s="290" t="n"/>
      <c r="D6" s="290" t="n"/>
      <c r="E6" s="290" t="n"/>
      <c r="F6" s="290" t="n"/>
      <c r="G6" s="291" t="n"/>
      <c r="H6" s="41" t="n"/>
    </row>
    <row r="7" ht="21.95" customHeight="1" s="164">
      <c r="A7" s="41" t="n"/>
      <c r="B7" s="292" t="n"/>
      <c r="G7" s="293" t="n"/>
      <c r="H7" s="41" t="n"/>
    </row>
    <row r="8" ht="21.95" customHeight="1" s="164">
      <c r="A8" s="41" t="n"/>
      <c r="B8" s="292" t="n"/>
      <c r="G8" s="293" t="n"/>
      <c r="H8" s="41" t="n"/>
    </row>
    <row r="9" ht="21.95" customHeight="1" s="164">
      <c r="A9" s="41" t="n"/>
      <c r="B9" s="292" t="n"/>
      <c r="G9" s="293" t="n"/>
      <c r="H9" s="41" t="n"/>
    </row>
    <row r="10" ht="21.95" customHeight="1" s="164" thickBot="1">
      <c r="A10" s="41" t="n"/>
      <c r="B10" s="294" t="n"/>
      <c r="C10" s="295" t="n"/>
      <c r="D10" s="295" t="n"/>
      <c r="E10" s="295" t="n"/>
      <c r="F10" s="295" t="n"/>
      <c r="G10" s="296" t="n"/>
      <c r="H10" s="41" t="n"/>
    </row>
    <row r="11" ht="21.95" customHeight="1" s="164" thickTop="1">
      <c r="A11" s="41" t="n"/>
      <c r="B11" s="41" t="n"/>
      <c r="C11" s="41" t="n"/>
      <c r="D11" s="41" t="n"/>
      <c r="E11" s="41" t="n"/>
      <c r="F11" s="41" t="n"/>
      <c r="G11" s="41" t="n"/>
      <c r="H11" s="41" t="n"/>
    </row>
    <row r="12" ht="33.95" customHeight="1" s="164">
      <c r="A12" s="41" t="n"/>
      <c r="B12" s="196" t="inlineStr">
        <is>
          <t>PDF kaydedildikten sonra hedef klasör Windows Shell ile otomatik açılır; OneDrive Masaüstü yollarıyla uyumludur.</t>
        </is>
      </c>
      <c r="H12" s="41" t="n"/>
    </row>
    <row r="13" ht="33.95" customHeight="1" s="164">
      <c r="A13" s="41" t="n"/>
      <c r="B13" s="184" t="inlineStr">
        <is>
          <t>Sonra Alt+F8 → PDFDugmesiniBaglaV2 → Çalıştır. Düğme benzersiz v2 makrosuna bağlanır.</t>
        </is>
      </c>
      <c r="H13" s="41" t="n"/>
    </row>
    <row r="14" ht="33.95" customHeight="1" s="164">
      <c r="A14" s="41" t="n"/>
      <c r="B14" s="196" t="inlineStr">
        <is>
          <t>Test: Alt+F8 → PDFKaydetTestiV2 → Çalıştır. PDF kaydedilir ve hedef klasörde seçili açılır.</t>
        </is>
      </c>
      <c r="H14" s="41" t="n"/>
    </row>
    <row r="15" ht="21.95" customHeight="1" s="164">
      <c r="A15" s="41" t="n"/>
      <c r="B15" s="41" t="n"/>
      <c r="C15" s="41" t="n"/>
      <c r="D15" s="41" t="n"/>
      <c r="E15" s="41" t="n"/>
      <c r="F15" s="41" t="n"/>
      <c r="G15" s="41" t="n"/>
      <c r="H15" s="41" t="n"/>
    </row>
    <row r="16" ht="21.95" customHeight="1" s="164">
      <c r="A16" s="41" t="n"/>
      <c r="B16" s="41" t="n"/>
      <c r="C16" s="41" t="n"/>
      <c r="D16" s="41" t="n"/>
      <c r="E16" s="41" t="n"/>
      <c r="F16" s="41" t="n"/>
      <c r="G16" s="41" t="n"/>
      <c r="H16" s="41" t="n"/>
    </row>
    <row r="17" ht="27.95" customHeight="1" s="164">
      <c r="A17" s="41" t="n"/>
      <c r="B17" s="183" t="n"/>
      <c r="H17" s="41" t="n"/>
    </row>
    <row r="18" ht="27.95" customHeight="1" s="164">
      <c r="A18" s="41" t="n"/>
      <c r="H18" s="41" t="n"/>
    </row>
    <row r="19" ht="27.95" customHeight="1" s="164">
      <c r="A19" s="41" t="n"/>
      <c r="H19" s="41" t="n"/>
    </row>
    <row r="20" ht="27.95" customHeight="1" s="164">
      <c r="A20" s="41" t="n"/>
      <c r="H20" s="41" t="n"/>
    </row>
    <row r="21" ht="21.95" customHeight="1" s="164">
      <c r="A21" s="41" t="n"/>
      <c r="B21" s="41" t="n"/>
      <c r="C21" s="41" t="n"/>
      <c r="D21" s="41" t="n"/>
      <c r="E21" s="41" t="n"/>
      <c r="F21" s="41" t="n"/>
      <c r="G21" s="41" t="n"/>
      <c r="H21" s="41" t="n"/>
    </row>
    <row r="22" ht="27.95" customHeight="1" s="164">
      <c r="A22" s="41" t="n"/>
      <c r="B22" s="183" t="n"/>
      <c r="H22" s="41" t="n"/>
    </row>
    <row r="23" ht="27.95" customHeight="1" s="164">
      <c r="A23" s="41" t="n"/>
      <c r="H23" s="41" t="n"/>
    </row>
    <row r="24" ht="27.95" customHeight="1" s="164">
      <c r="A24" s="41" t="n"/>
      <c r="H24" s="41" t="n"/>
    </row>
    <row r="25" ht="21.95" customHeight="1" s="164">
      <c r="A25" s="41" t="n"/>
      <c r="B25" s="41" t="n"/>
      <c r="C25" s="41" t="n"/>
      <c r="D25" s="41" t="n"/>
      <c r="E25" s="41" t="n"/>
      <c r="F25" s="41" t="n"/>
      <c r="G25" s="41" t="n"/>
      <c r="H25" s="41" t="n"/>
    </row>
    <row r="26" ht="21.95" customHeight="1" s="164">
      <c r="A26" s="41" t="n"/>
      <c r="B26" s="41" t="n"/>
      <c r="C26" s="41" t="n"/>
      <c r="D26" s="41" t="n"/>
      <c r="E26" s="41" t="n"/>
      <c r="F26" s="41" t="n"/>
      <c r="G26" s="41" t="n"/>
      <c r="H26" s="41" t="n"/>
    </row>
  </sheetData>
  <mergeCells count="8">
    <mergeCell ref="A3:H3"/>
    <mergeCell ref="B6:G10"/>
    <mergeCell ref="B14:G14"/>
    <mergeCell ref="B22:G24"/>
    <mergeCell ref="B12:G12"/>
    <mergeCell ref="B13:G13"/>
    <mergeCell ref="B17:G20"/>
    <mergeCell ref="A1:H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ayfa7">
    <outlinePr summaryBelow="1" summaryRight="1"/>
    <pageSetUpPr/>
  </sheetPr>
  <dimension ref="A1:H25"/>
  <sheetViews>
    <sheetView workbookViewId="0">
      <selection activeCell="A350" sqref="A350:A441"/>
    </sheetView>
  </sheetViews>
  <sheetFormatPr baseColWidth="8" defaultRowHeight="15"/>
  <cols>
    <col width="14.28515625" customWidth="1" style="164" min="1" max="1"/>
    <col width="17.140625" customWidth="1" style="164" min="2" max="7"/>
    <col width="14.28515625" customWidth="1" style="164" min="8" max="8"/>
  </cols>
  <sheetData>
    <row r="1" ht="33.95" customHeight="1" s="164">
      <c r="A1" s="185" t="inlineStr">
        <is>
          <t>OUTLOOK İÇİN PDF E-POSTASI</t>
        </is>
      </c>
    </row>
    <row r="2" ht="33.95" customHeight="1" s="164"/>
    <row r="3" ht="21.95" customHeight="1" s="164">
      <c r="A3" s="186" t="inlineStr">
        <is>
          <t>Teklif Formunu PDF yapar, Masaüstü &gt; Teklifler &gt; PDF klasörüne kaydeder ve yeni Outlook e-postasına ekler.</t>
        </is>
      </c>
    </row>
    <row r="4" ht="21.95" customHeight="1" s="164">
      <c r="A4" s="41" t="n"/>
      <c r="B4" s="41" t="n"/>
      <c r="C4" s="41" t="n"/>
      <c r="D4" s="41" t="n"/>
      <c r="E4" s="41" t="n"/>
      <c r="F4" s="41" t="n"/>
      <c r="G4" s="41" t="n"/>
      <c r="H4" s="41" t="n"/>
    </row>
    <row r="5" ht="21.95" customHeight="1" s="164" thickBot="1">
      <c r="A5" s="41" t="n"/>
      <c r="B5" s="41" t="n"/>
      <c r="C5" s="41" t="n"/>
      <c r="D5" s="41" t="n"/>
      <c r="E5" s="41" t="n"/>
      <c r="F5" s="41" t="n"/>
      <c r="G5" s="41" t="n"/>
      <c r="H5" s="41" t="n"/>
    </row>
    <row r="6" ht="21.95" customHeight="1" s="164" thickTop="1">
      <c r="A6" s="41" t="n"/>
      <c r="B6" s="297" t="inlineStr">
        <is>
          <t>PDF OLUŞTUR VE OUTLOOK'A EKLE</t>
        </is>
      </c>
      <c r="C6" s="290" t="n"/>
      <c r="D6" s="290" t="n"/>
      <c r="E6" s="290" t="n"/>
      <c r="F6" s="290" t="n"/>
      <c r="G6" s="291" t="n"/>
      <c r="H6" s="41" t="n"/>
    </row>
    <row r="7" ht="21.95" customHeight="1" s="164">
      <c r="A7" s="41" t="n"/>
      <c r="B7" s="292" t="n"/>
      <c r="G7" s="293" t="n"/>
      <c r="H7" s="41" t="n"/>
    </row>
    <row r="8" ht="21.95" customHeight="1" s="164">
      <c r="A8" s="41" t="n"/>
      <c r="B8" s="292" t="n"/>
      <c r="G8" s="293" t="n"/>
      <c r="H8" s="41" t="n"/>
    </row>
    <row r="9" ht="21.95" customHeight="1" s="164">
      <c r="A9" s="41" t="n"/>
      <c r="B9" s="292" t="n"/>
      <c r="G9" s="293" t="n"/>
      <c r="H9" s="41" t="n"/>
    </row>
    <row r="10" ht="21.95" customHeight="1" s="164" thickBot="1">
      <c r="A10" s="41" t="n"/>
      <c r="B10" s="294" t="n"/>
      <c r="C10" s="295" t="n"/>
      <c r="D10" s="295" t="n"/>
      <c r="E10" s="295" t="n"/>
      <c r="F10" s="295" t="n"/>
      <c r="G10" s="296" t="n"/>
      <c r="H10" s="41" t="n"/>
    </row>
    <row r="11" ht="21.95" customHeight="1" s="164" thickTop="1">
      <c r="A11" s="41" t="n"/>
      <c r="B11" s="41" t="n"/>
      <c r="C11" s="41" t="n"/>
      <c r="D11" s="41" t="n"/>
      <c r="E11" s="41" t="n"/>
      <c r="F11" s="41" t="n"/>
      <c r="G11" s="41" t="n"/>
      <c r="H11" s="41" t="n"/>
    </row>
    <row r="12" ht="21.95" customHeight="1" s="164">
      <c r="A12" s="41" t="n"/>
      <c r="B12" s="206" t="inlineStr">
        <is>
          <t>Alıcı (müşteri e-postası), konu (teklif no - müşteri) ve gövde otomatik doldurulur; Outlook imzanız korunur. Taslağı kontrol edip Gönder'e basın.</t>
        </is>
      </c>
      <c r="H12" s="41" t="n"/>
    </row>
    <row r="13" ht="21.95" customHeight="1" s="164">
      <c r="A13" s="41" t="n"/>
      <c r="B13" s="41" t="n"/>
      <c r="C13" s="41" t="n"/>
      <c r="D13" s="41" t="n"/>
      <c r="E13" s="41" t="n"/>
      <c r="F13" s="41" t="n"/>
      <c r="G13" s="41" t="n"/>
      <c r="H13" s="41" t="n"/>
    </row>
    <row r="14" ht="21.95" customHeight="1" s="164">
      <c r="A14" s="41" t="n"/>
      <c r="B14" s="207" t="inlineStr">
        <is>
          <t>Uyumluluk: Windows için Klasik Outlook gereklidir. Yeni Outlook COM/VBA otomasyonunu desteklemez.</t>
        </is>
      </c>
      <c r="H14" s="41" t="n"/>
    </row>
    <row r="15" ht="21.95" customHeight="1" s="164">
      <c r="A15" s="41" t="n"/>
      <c r="B15" s="41" t="n"/>
      <c r="C15" s="41" t="n"/>
      <c r="D15" s="41" t="n"/>
      <c r="E15" s="41" t="n"/>
      <c r="F15" s="41" t="n"/>
      <c r="G15" s="41" t="n"/>
      <c r="H15" s="41" t="n"/>
    </row>
    <row r="16" ht="21.95" customHeight="1" s="164">
      <c r="A16" s="41" t="n"/>
      <c r="B16" s="41" t="n"/>
      <c r="C16" s="41" t="n"/>
      <c r="D16" s="41" t="n"/>
      <c r="E16" s="41" t="n"/>
      <c r="F16" s="41" t="n"/>
      <c r="G16" s="41" t="n"/>
      <c r="H16" s="41" t="n"/>
    </row>
    <row r="17">
      <c r="A17" s="41" t="n"/>
      <c r="B17" s="182" t="inlineStr">
        <is>
          <t>KONTROL</t>
        </is>
      </c>
      <c r="C17" s="182" t="inlineStr">
        <is>
          <t>DURUM</t>
        </is>
      </c>
      <c r="D17" s="182" t="inlineStr">
        <is>
          <t>AÇIKLAMA</t>
        </is>
      </c>
      <c r="E17" s="182" t="n"/>
      <c r="F17" s="182" t="n"/>
      <c r="G17" s="182" t="n"/>
      <c r="H17" s="41" t="n"/>
    </row>
    <row r="18">
      <c r="A18" s="41" t="n"/>
      <c r="B18" s="21" t="inlineStr">
        <is>
          <t>PDF üretimi</t>
        </is>
      </c>
      <c r="C18" s="253" t="inlineStr">
        <is>
          <t>HAZIR</t>
        </is>
      </c>
      <c r="D18" s="181" t="inlineStr">
        <is>
          <t>Teklif Formu A4 dikey ve tek sayfa olarak kaydedilir.</t>
        </is>
      </c>
      <c r="H18" s="41" t="n"/>
    </row>
    <row r="19">
      <c r="A19" s="41" t="n"/>
      <c r="B19" s="21" t="inlineStr">
        <is>
          <t>Outlook eki</t>
        </is>
      </c>
      <c r="C19" s="253" t="inlineStr">
        <is>
          <t>HAZIR</t>
        </is>
      </c>
      <c r="D19" s="181" t="inlineStr">
        <is>
          <t>PDF oluşturulduktan sonra boş e-posta taslağına eklenir.</t>
        </is>
      </c>
      <c r="H19" s="41" t="n"/>
    </row>
    <row r="20">
      <c r="A20" s="41" t="n"/>
      <c r="B20" s="21" t="inlineStr">
        <is>
          <t>Otomatik gönderim</t>
        </is>
      </c>
      <c r="C20" s="253" t="inlineStr">
        <is>
          <t>KAPALI</t>
        </is>
      </c>
      <c r="D20" s="181" t="inlineStr">
        <is>
          <t>E-posta yalnızca açılır; gönderme kullanıcı kontrolündedir.</t>
        </is>
      </c>
      <c r="H20" s="41" t="n"/>
    </row>
    <row r="21">
      <c r="A21" s="41" t="n"/>
      <c r="B21" s="242" t="inlineStr">
        <is>
          <t>Uyumluluk</t>
        </is>
      </c>
      <c r="C21" s="250" t="inlineStr">
        <is>
          <t>KLASİK OUTLOOK</t>
        </is>
      </c>
      <c r="D21" s="181" t="inlineStr">
        <is>
          <t>Yeni Outlook, VBA/COM otomasyonunu desteklemez.</t>
        </is>
      </c>
      <c r="H21" s="41" t="n"/>
    </row>
    <row r="22" ht="30" customHeight="1" s="164">
      <c r="A22" s="41" t="n"/>
      <c r="B22" s="242" t="inlineStr">
        <is>
          <t>Canlı test</t>
        </is>
      </c>
      <c r="C22" s="250" t="inlineStr">
        <is>
          <t>KULLANICI BİLGİSAYARINDA</t>
        </is>
      </c>
      <c r="D22" s="181" t="inlineStr">
        <is>
          <t>OutlookPDFTestiV1 çalıştırıldığında gerçek Outlook taslağı açılır.</t>
        </is>
      </c>
      <c r="H22" s="41" t="n"/>
    </row>
    <row r="23" ht="30" customHeight="1" s="164">
      <c r="A23" s="41" t="n"/>
      <c r="B23" s="207" t="n"/>
      <c r="C23" s="207" t="n"/>
      <c r="D23" s="207" t="n"/>
      <c r="E23" s="207" t="n"/>
      <c r="F23" s="207" t="n"/>
      <c r="G23" s="207" t="n"/>
      <c r="H23" s="41" t="n"/>
    </row>
    <row r="24" ht="21.95" customHeight="1" s="164">
      <c r="A24" s="41" t="n"/>
      <c r="B24" s="41" t="n"/>
      <c r="C24" s="41" t="n"/>
      <c r="D24" s="41" t="n"/>
      <c r="E24" s="41" t="n"/>
      <c r="F24" s="41" t="n"/>
      <c r="G24" s="41" t="n"/>
      <c r="H24" s="41" t="n"/>
    </row>
    <row r="25" ht="21.95" customHeight="1" s="164">
      <c r="A25" s="41" t="n"/>
      <c r="B25" s="41" t="n"/>
      <c r="C25" s="41" t="n"/>
      <c r="D25" s="41" t="n"/>
      <c r="E25" s="41" t="n"/>
      <c r="F25" s="41" t="n"/>
      <c r="G25" s="41" t="n"/>
      <c r="H25" s="41" t="n"/>
    </row>
  </sheetData>
  <mergeCells count="10">
    <mergeCell ref="D22:G22"/>
    <mergeCell ref="D18:G18"/>
    <mergeCell ref="B6:G10"/>
    <mergeCell ref="A3:H3"/>
    <mergeCell ref="B14:G14"/>
    <mergeCell ref="D20:G20"/>
    <mergeCell ref="D21:G21"/>
    <mergeCell ref="D19:G19"/>
    <mergeCell ref="B12:G12"/>
    <mergeCell ref="A1:H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ayfa16">
    <outlinePr summaryBelow="1" summaryRight="1"/>
    <pageSetUpPr/>
  </sheetPr>
  <dimension ref="A1:H117"/>
  <sheetViews>
    <sheetView workbookViewId="0">
      <selection activeCell="Q6" sqref="Q6"/>
    </sheetView>
  </sheetViews>
  <sheetFormatPr baseColWidth="8" defaultRowHeight="15"/>
  <cols>
    <col width="34.42578125" bestFit="1" customWidth="1" style="164" min="1" max="1"/>
    <col width="24.85546875" bestFit="1" customWidth="1" style="164" min="2" max="2"/>
    <col width="17.28515625" bestFit="1" customWidth="1" style="164" min="3" max="3"/>
    <col width="36" bestFit="1" customWidth="1" style="164" min="4" max="4"/>
    <col width="16.85546875" bestFit="1" customWidth="1" style="164" min="5" max="5"/>
    <col width="22.5703125" bestFit="1" customWidth="1" style="164" min="6" max="6"/>
    <col width="33.28515625" customWidth="1" style="164" min="7" max="7"/>
    <col width="6.7109375" customWidth="1" style="164" min="8" max="8"/>
  </cols>
  <sheetData>
    <row r="1">
      <c r="A1" s="213" t="inlineStr">
        <is>
          <t>TEKLİF SİSTEMİ — KONTROL VE GELİŞTİRME RAPORU</t>
        </is>
      </c>
    </row>
    <row r="2"/>
    <row r="3">
      <c r="A3" s="214" t="inlineStr">
        <is>
          <t>27.09.2026 tarihli kapsamlı denetim • Formüller, ürünler, kurlar, PDF, Outlook, baskı ve VBA kaynakları</t>
        </is>
      </c>
    </row>
    <row r="4">
      <c r="A4" s="46" t="n"/>
      <c r="B4" s="46" t="n"/>
      <c r="C4" s="46" t="n"/>
      <c r="D4" s="46" t="n"/>
      <c r="E4" s="46" t="n"/>
      <c r="F4" s="46" t="n"/>
      <c r="G4" s="46" t="n"/>
      <c r="H4" s="46" t="n"/>
    </row>
    <row r="5">
      <c r="A5" s="215" t="inlineStr">
        <is>
          <t>GENEL DURUM</t>
        </is>
      </c>
      <c r="C5" s="215" t="inlineStr">
        <is>
          <t>TEKLİF TOPLAMI</t>
        </is>
      </c>
      <c r="E5" s="215" t="inlineStr">
        <is>
          <t>ÜRÜN SAYISI</t>
        </is>
      </c>
      <c r="G5" s="215" t="inlineStr">
        <is>
          <t>DOLU SATIR</t>
        </is>
      </c>
    </row>
    <row r="6">
      <c r="A6" s="216" t="inlineStr">
        <is>
          <t>ÇALIŞIYOR</t>
        </is>
      </c>
      <c r="C6" s="217" t="n">
        <v>125812.24608</v>
      </c>
      <c r="E6" s="216" t="n">
        <v>10</v>
      </c>
      <c r="G6" s="216" t="n">
        <v>4</v>
      </c>
    </row>
    <row r="7"/>
    <row r="8">
      <c r="A8" s="46" t="n"/>
      <c r="B8" s="46" t="n"/>
      <c r="C8" s="46" t="n"/>
      <c r="D8" s="46" t="n"/>
      <c r="E8" s="46" t="n"/>
      <c r="F8" s="46" t="n"/>
      <c r="G8" s="46" t="n"/>
      <c r="H8" s="46" t="n"/>
    </row>
    <row r="9">
      <c r="A9" s="46" t="n"/>
      <c r="B9" s="46" t="n"/>
      <c r="C9" s="46" t="n"/>
      <c r="D9" s="46" t="n"/>
      <c r="E9" s="46" t="n"/>
      <c r="F9" s="46" t="n"/>
      <c r="G9" s="46" t="n"/>
      <c r="H9" s="46" t="n"/>
    </row>
    <row r="10">
      <c r="A10" s="47" t="inlineStr">
        <is>
          <t>No</t>
        </is>
      </c>
      <c r="B10" s="47" t="inlineStr">
        <is>
          <t>Alan</t>
        </is>
      </c>
      <c r="C10" s="47" t="inlineStr">
        <is>
          <t>Durum</t>
        </is>
      </c>
      <c r="D10" s="47" t="inlineStr">
        <is>
          <t>Kontrol</t>
        </is>
      </c>
      <c r="E10" s="47" t="inlineStr">
        <is>
          <t>Sonuç</t>
        </is>
      </c>
      <c r="F10" s="47" t="inlineStr">
        <is>
          <t>Aksiyon</t>
        </is>
      </c>
      <c r="G10" s="48" t="n"/>
      <c r="H10" s="48" t="n"/>
    </row>
    <row r="11" ht="75" customHeight="1" s="164">
      <c r="A11" s="48" t="n">
        <v>1</v>
      </c>
      <c r="B11" s="48" t="inlineStr">
        <is>
          <t>Teklif hesapları</t>
        </is>
      </c>
      <c r="C11" s="49" t="inlineStr">
        <is>
          <t>BAŞARILI</t>
        </is>
      </c>
      <c r="D11" s="48" t="inlineStr">
        <is>
          <t>23 satır ve toplam mutabakatı</t>
        </is>
      </c>
      <c r="E11" s="48" t="inlineStr">
        <is>
          <t>Ara toplam 104.843,54 TL; KDV 20.968,71 TL; genel toplam 125.812,25 TL</t>
        </is>
      </c>
      <c r="F11" s="48" t="inlineStr">
        <is>
          <t>Yok</t>
        </is>
      </c>
      <c r="G11" s="48" t="n"/>
      <c r="H11" s="48" t="n"/>
    </row>
    <row r="12" ht="30" customHeight="1" s="164">
      <c r="A12" s="48" t="n">
        <v>2</v>
      </c>
      <c r="B12" s="48" t="inlineStr">
        <is>
          <t>Ürün kataloğu</t>
        </is>
      </c>
      <c r="C12" s="49" t="inlineStr">
        <is>
          <t>BAŞARILI</t>
        </is>
      </c>
      <c r="D12" s="48" t="inlineStr">
        <is>
          <t>10 ürün, benzersizlik ve pozitif değerler</t>
        </is>
      </c>
      <c r="E12" s="48" t="inlineStr">
        <is>
          <t>10/10 ürün geçerli</t>
        </is>
      </c>
      <c r="F12" s="48" t="inlineStr">
        <is>
          <t>Yok</t>
        </is>
      </c>
      <c r="G12" s="48" t="n"/>
      <c r="H12" s="48" t="n"/>
    </row>
    <row r="13" ht="30" customHeight="1" s="164">
      <c r="A13" s="48" t="n">
        <v>3</v>
      </c>
      <c r="B13" s="48" t="inlineStr">
        <is>
          <t>Döviz kurları</t>
        </is>
      </c>
      <c r="C13" s="49" t="inlineStr">
        <is>
          <t>BAŞARILI</t>
        </is>
      </c>
      <c r="D13" s="48" t="inlineStr">
        <is>
          <t>TRY, USD, EUR, GBP eşleşmesi</t>
        </is>
      </c>
      <c r="E13" s="48" t="inlineStr">
        <is>
          <t>4/4 kur pozitif ve benzersiz</t>
        </is>
      </c>
      <c r="F13" s="48" t="inlineStr">
        <is>
          <t>Yok</t>
        </is>
      </c>
      <c r="G13" s="48" t="n"/>
      <c r="H13" s="48" t="n"/>
    </row>
    <row r="14" ht="45" customHeight="1" s="164">
      <c r="A14" s="48" t="n">
        <v>4</v>
      </c>
      <c r="B14" s="48" t="inlineStr">
        <is>
          <t>Formüller</t>
        </is>
      </c>
      <c r="C14" s="49" t="inlineStr">
        <is>
          <t>BAŞARILI</t>
        </is>
      </c>
      <c r="D14" s="48" t="inlineStr">
        <is>
          <t>Tüm sekmelerde hata ve taşma taraması</t>
        </is>
      </c>
      <c r="E14" s="48" t="inlineStr">
        <is>
          <t>Hata değerleri ve sütun taşmaları bulunmadı</t>
        </is>
      </c>
      <c r="F14" s="48" t="inlineStr">
        <is>
          <t>Yok</t>
        </is>
      </c>
      <c r="G14" s="48" t="n"/>
      <c r="H14" s="48" t="n"/>
    </row>
    <row r="15" ht="45" customHeight="1" s="164">
      <c r="A15" s="48" t="n">
        <v>5</v>
      </c>
      <c r="B15" s="48" t="inlineStr">
        <is>
          <t>Analiz Özeti</t>
        </is>
      </c>
      <c r="C15" s="49" t="inlineStr">
        <is>
          <t>DÜZELTİLDİ</t>
        </is>
      </c>
      <c r="D15" s="48" t="inlineStr">
        <is>
          <t>Bulguların veri değişince güncellenmesi</t>
        </is>
      </c>
      <c r="E15" s="48" t="inlineStr">
        <is>
          <t>A24:A27 artık canlı formüllere bağlı</t>
        </is>
      </c>
      <c r="F15" s="48" t="inlineStr">
        <is>
          <t>Tamamlandı</t>
        </is>
      </c>
      <c r="G15" s="48" t="n"/>
      <c r="H15" s="48" t="n"/>
    </row>
    <row r="16" ht="45" customHeight="1" s="164">
      <c r="A16" s="48" t="n">
        <v>6</v>
      </c>
      <c r="B16" s="48" t="inlineStr">
        <is>
          <t>Baskı/PDF</t>
        </is>
      </c>
      <c r="C16" s="49" t="inlineStr">
        <is>
          <t>BAŞARILI</t>
        </is>
      </c>
      <c r="D16" s="48" t="inlineStr">
        <is>
          <t>A4 yön ve ölçek</t>
        </is>
      </c>
      <c r="E16" s="48" t="inlineStr">
        <is>
          <t>Dikey, 1 sayfa genişlik × 1 sayfa yükseklik</t>
        </is>
      </c>
      <c r="F16" s="48" t="inlineStr">
        <is>
          <t>Yok</t>
        </is>
      </c>
      <c r="G16" s="48" t="n"/>
      <c r="H16" s="48" t="n"/>
    </row>
    <row r="17" ht="45" customHeight="1" s="164">
      <c r="A17" s="48" t="n">
        <v>7</v>
      </c>
      <c r="B17" s="48" t="inlineStr">
        <is>
          <t>VBA kaynakları</t>
        </is>
      </c>
      <c r="C17" s="49" t="inlineStr">
        <is>
          <t>BAŞARILI</t>
        </is>
      </c>
      <c r="D17" s="48" t="inlineStr">
        <is>
          <t>20 yordam, ad ve tırnak kontrolü</t>
        </is>
      </c>
      <c r="E17" s="48" t="inlineStr">
        <is>
          <t>Yinelenen yordam adı ve yapısal hata yok</t>
        </is>
      </c>
      <c r="F17" s="48" t="inlineStr">
        <is>
          <t>Gerçek modüller sürümle eşlenmeli</t>
        </is>
      </c>
      <c r="G17" s="48" t="n"/>
      <c r="H17" s="48" t="n"/>
    </row>
    <row r="18" ht="75" customHeight="1" s="164">
      <c r="A18" s="48" t="n">
        <v>8</v>
      </c>
      <c r="B18" s="48" t="inlineStr">
        <is>
          <t>Outlook</t>
        </is>
      </c>
      <c r="C18" s="247" t="inlineStr">
        <is>
          <t>UYARI</t>
        </is>
      </c>
      <c r="D18" s="48" t="inlineStr">
        <is>
          <t>Masaüstü otomasyon uyumluluğu</t>
        </is>
      </c>
      <c r="E18" s="48" t="inlineStr">
        <is>
          <t>Klasik Outlook gerekir; Yeni Outlook COM/VBA desteklemez</t>
        </is>
      </c>
      <c r="F18" s="48" t="inlineStr">
        <is>
          <t>Gerekirse Power Automate/Graph</t>
        </is>
      </c>
      <c r="G18" s="48" t="n"/>
      <c r="H18" s="48" t="n"/>
    </row>
    <row r="19" ht="60" customHeight="1" s="164">
      <c r="A19" s="48" t="n">
        <v>9</v>
      </c>
      <c r="B19" s="48" t="inlineStr">
        <is>
          <t>Kur yenileme</t>
        </is>
      </c>
      <c r="C19" s="247" t="inlineStr">
        <is>
          <t>BAŞARILI</t>
        </is>
      </c>
      <c r="D19" s="48" t="inlineStr">
        <is>
          <t>Resmî İş Bankası satış kurları, v3 makrosu ve 23 teklif satırı bağlantısı</t>
        </is>
      </c>
      <c r="E19" s="48" t="inlineStr">
        <is>
          <t>USD 50,3378 • EUR 57,3448 • GBP 66,7328</t>
        </is>
      </c>
      <c r="F19" s="48" t="inlineStr">
        <is>
          <t>Otomatik açılış: Workbook_Open → IsBankasiKurlariGuncelleV3</t>
        </is>
      </c>
      <c r="G19" s="48" t="n"/>
      <c r="H19" s="48" t="n"/>
    </row>
    <row r="20">
      <c r="A20" s="48" t="n"/>
      <c r="B20" s="48" t="n"/>
      <c r="C20" s="48" t="n"/>
      <c r="D20" s="48" t="n"/>
      <c r="E20" s="48" t="n"/>
      <c r="F20" s="48" t="n"/>
      <c r="G20" s="48" t="n"/>
      <c r="H20" s="48" t="n"/>
    </row>
    <row r="21">
      <c r="A21" s="48" t="n"/>
      <c r="B21" s="48" t="n"/>
      <c r="C21" s="48" t="n"/>
      <c r="D21" s="48" t="n"/>
      <c r="E21" s="48" t="n"/>
      <c r="F21" s="48" t="n"/>
      <c r="G21" s="48" t="n"/>
      <c r="H21" s="48" t="n"/>
    </row>
    <row r="22">
      <c r="A22" s="47" t="inlineStr">
        <is>
          <t>Öncelik</t>
        </is>
      </c>
      <c r="B22" s="47" t="inlineStr">
        <is>
          <t>Geliştirme</t>
        </is>
      </c>
      <c r="C22" s="47" t="inlineStr">
        <is>
          <t>Ne kazandırır?</t>
        </is>
      </c>
      <c r="D22" s="47" t="inlineStr">
        <is>
          <t>Önerilen uygulama</t>
        </is>
      </c>
      <c r="E22" s="47" t="inlineStr">
        <is>
          <t>Efor</t>
        </is>
      </c>
      <c r="F22" s="47" t="inlineStr">
        <is>
          <t>Durum</t>
        </is>
      </c>
      <c r="G22" s="47" t="inlineStr">
        <is>
          <t>Not</t>
        </is>
      </c>
      <c r="H22" s="47" t="n"/>
    </row>
    <row r="23" ht="60" customHeight="1" s="164">
      <c r="A23" s="48" t="n">
        <v>1</v>
      </c>
      <c r="B23" s="48" t="inlineStr">
        <is>
          <t>Teklif arşivi ve durum takibi</t>
        </is>
      </c>
      <c r="C23" s="48" t="inlineStr">
        <is>
          <t>Gönderilen tekliflerin kaybolmasını önler</t>
        </is>
      </c>
      <c r="D23" s="48" t="inlineStr">
        <is>
          <t>Teklif no, müşteri, tarih, tutar, durum, takip tarihi ve PDF yolu tablosu</t>
        </is>
      </c>
      <c r="E23" s="48" t="inlineStr">
        <is>
          <t>Orta</t>
        </is>
      </c>
      <c r="F23" s="65" t="inlineStr">
        <is>
          <t>UYGULANDI</t>
        </is>
      </c>
      <c r="G23" s="48" t="inlineStr">
        <is>
          <t>Taslak/Gönderildi/Kabul/Red/Süresi Doldu</t>
        </is>
      </c>
      <c r="H23" s="48" t="n"/>
    </row>
    <row r="24" ht="45" customHeight="1" s="164">
      <c r="A24" s="48" t="n">
        <v>1</v>
      </c>
      <c r="B24" s="48" t="inlineStr">
        <is>
          <t>Otomatik benzersiz teklif numarası</t>
        </is>
      </c>
      <c r="C24" s="48" t="inlineStr">
        <is>
          <t>Çakışma ve Numara­sız PDF riskini kaldırır</t>
        </is>
      </c>
      <c r="D24" s="48" t="inlineStr">
        <is>
          <t>Yıl-ay-sıra formatı ve arşiv kontrolü</t>
        </is>
      </c>
      <c r="E24" s="48" t="inlineStr">
        <is>
          <t>Düşük</t>
        </is>
      </c>
      <c r="F24" s="65" t="inlineStr">
        <is>
          <t>UYGULANDI</t>
        </is>
      </c>
      <c r="G24" s="48" t="inlineStr">
        <is>
          <t>Örn. TKL-2026-0001</t>
        </is>
      </c>
      <c r="H24" s="48" t="n"/>
    </row>
    <row r="25" ht="45" customHeight="1" s="164">
      <c r="A25" s="48" t="n">
        <v>1</v>
      </c>
      <c r="B25" s="48" t="inlineStr">
        <is>
          <t>Formül hücrelerini koruma</t>
        </is>
      </c>
      <c r="C25" s="48" t="inlineStr">
        <is>
          <t>Yanlışlıkla formül silinmesini engeller</t>
        </is>
      </c>
      <c r="D25" s="48" t="inlineStr">
        <is>
          <t>Sadece sarı giriş hücrelerini açık bırakıp sayfayı koruma</t>
        </is>
      </c>
      <c r="E25" s="48" t="inlineStr">
        <is>
          <t>Düşük</t>
        </is>
      </c>
      <c r="F25" s="65" t="inlineStr">
        <is>
          <t>UYGULANDI</t>
        </is>
      </c>
      <c r="G25" s="48" t="inlineStr">
        <is>
          <t>Makrolar için UserInterfaceOnly</t>
        </is>
      </c>
      <c r="H25" s="48" t="n"/>
    </row>
    <row r="26" ht="45" customHeight="1" s="164">
      <c r="A26" s="48" t="n">
        <v>2</v>
      </c>
      <c r="B26" s="48" t="inlineStr">
        <is>
          <t>Müşteri veri tabanı</t>
        </is>
      </c>
      <c r="C26" s="48" t="inlineStr">
        <is>
          <t>Müşteri bilgilerini tek seçimle doldurur</t>
        </is>
      </c>
      <c r="D26" s="48" t="inlineStr">
        <is>
          <t>Müşteriler tablosu: firma, yetkili, e-posta, telefon, adres</t>
        </is>
      </c>
      <c r="E26" s="48" t="inlineStr">
        <is>
          <t>Orta</t>
        </is>
      </c>
      <c r="F26" s="65" t="inlineStr">
        <is>
          <t>UYGULANDI</t>
        </is>
      </c>
      <c r="G26" s="48" t="inlineStr">
        <is>
          <t>Outlook alıcısı buradan çekilebilir</t>
        </is>
      </c>
      <c r="H26" s="48" t="n"/>
    </row>
    <row r="27" ht="45" customHeight="1" s="164">
      <c r="A27" s="48" t="n">
        <v>2</v>
      </c>
      <c r="B27" s="48" t="inlineStr">
        <is>
          <t>Dinamik ürün/fiyat tablosu</t>
        </is>
      </c>
      <c r="C27" s="48" t="inlineStr">
        <is>
          <t>Yeni ürünler otomatik kapsama girer</t>
        </is>
      </c>
      <c r="D27" s="48" t="inlineStr">
        <is>
          <t>Urunler aralığını Excel Tablosuna dönüştürüp yapılandırılmış başvuru kullanma</t>
        </is>
      </c>
      <c r="E27" s="48" t="inlineStr">
        <is>
          <t>Orta</t>
        </is>
      </c>
      <c r="F27" s="65" t="inlineStr">
        <is>
          <t>UYGULANDI</t>
        </is>
      </c>
      <c r="G27" s="48" t="inlineStr">
        <is>
          <t>Mevcut sabit A2:C11 sınırı kalkar</t>
        </is>
      </c>
      <c r="H27" s="48" t="n"/>
    </row>
    <row r="28" ht="45" customHeight="1" s="164">
      <c r="A28" s="48" t="n">
        <v>2</v>
      </c>
      <c r="B28" s="48" t="inlineStr">
        <is>
          <t>İskonto ve ödeme koşulları</t>
        </is>
      </c>
      <c r="C28" s="48" t="inlineStr">
        <is>
          <t>Ticari teklif kapsamını tamamlar</t>
        </is>
      </c>
      <c r="D28" s="48" t="inlineStr">
        <is>
          <t>Satır/genel iskonto, vade, teslimat ve ödeme koşulları</t>
        </is>
      </c>
      <c r="E28" s="48" t="inlineStr">
        <is>
          <t>Orta</t>
        </is>
      </c>
      <c r="F28" s="65" t="inlineStr">
        <is>
          <t>UYGULANDI</t>
        </is>
      </c>
      <c r="G28" s="48" t="inlineStr">
        <is>
          <t>KDV matrahı açıkça izlenir</t>
        </is>
      </c>
      <c r="H28" s="48" t="n"/>
    </row>
    <row r="29" ht="30" customHeight="1" s="164">
      <c r="A29" s="48" t="n">
        <v>2</v>
      </c>
      <c r="B29" s="48" t="inlineStr">
        <is>
          <t>Süre sonu ve takip uyarısı</t>
        </is>
      </c>
      <c r="C29" s="48" t="inlineStr">
        <is>
          <t>Geciken teklifleri görünür yapar</t>
        </is>
      </c>
      <c r="D29" s="48" t="inlineStr">
        <is>
          <t>Geçerlilik ve takip tarihine koşullu uyarı</t>
        </is>
      </c>
      <c r="E29" s="48" t="inlineStr">
        <is>
          <t>Düşük</t>
        </is>
      </c>
      <c r="F29" s="65" t="inlineStr">
        <is>
          <t>UYGULANDI</t>
        </is>
      </c>
      <c r="G29" s="48" t="inlineStr">
        <is>
          <t>Satış takibini güçlendirir</t>
        </is>
      </c>
      <c r="H29" s="48" t="n"/>
    </row>
    <row r="30" ht="45" customHeight="1" s="164">
      <c r="A30" s="48" t="n">
        <v>3</v>
      </c>
      <c r="B30" s="48" t="inlineStr">
        <is>
          <t>PDF/e-posta işlem günlüğü</t>
        </is>
      </c>
      <c r="C30" s="48" t="inlineStr">
        <is>
          <t>Kimin ne zaman ne gönderdiğini kanıtlar</t>
        </is>
      </c>
      <c r="D30" s="48" t="inlineStr">
        <is>
          <t>Dosya adı, zaman, kullanıcı, müşteri ve durum kayıt tablosu</t>
        </is>
      </c>
      <c r="E30" s="48" t="inlineStr">
        <is>
          <t>Orta</t>
        </is>
      </c>
      <c r="F30" s="65" t="inlineStr">
        <is>
          <t>UYGULANDI</t>
        </is>
      </c>
      <c r="G30" s="48" t="inlineStr">
        <is>
          <t>Denetim izi sağlar</t>
        </is>
      </c>
      <c r="H30" s="48" t="n"/>
    </row>
    <row r="31" ht="45" customHeight="1" s="164">
      <c r="A31" s="48" t="n">
        <v>3</v>
      </c>
      <c r="B31" s="48" t="inlineStr">
        <is>
          <t>Yeni Outlook entegrasyonu</t>
        </is>
      </c>
      <c r="C31" s="48" t="inlineStr">
        <is>
          <t>Klasik Outlook bağımlılığını kaldırır</t>
        </is>
      </c>
      <c r="D31" s="48" t="inlineStr">
        <is>
          <t>Power Automate veya Microsoft Graph tabanlı akış</t>
        </is>
      </c>
      <c r="E31" s="48" t="inlineStr">
        <is>
          <t>Yüksek</t>
        </is>
      </c>
      <c r="F31" s="66" t="inlineStr">
        <is>
          <t>HAZIRLIK TAMAM</t>
        </is>
      </c>
      <c r="G31" s="48" t="inlineStr">
        <is>
          <t>Kurumsal izin/lisans gerekebilir</t>
        </is>
      </c>
      <c r="H31" s="48" t="n"/>
    </row>
    <row r="32" ht="45" customHeight="1" s="164">
      <c r="A32" s="48" t="n">
        <v>3</v>
      </c>
      <c r="B32" s="48" t="inlineStr">
        <is>
          <t>Tekliften faturaya dönüşüm</t>
        </is>
      </c>
      <c r="C32" s="48" t="inlineStr">
        <is>
          <t>Kabul edilen teklifleri tekrar yazmayı önler</t>
        </is>
      </c>
      <c r="D32" s="48" t="inlineStr">
        <is>
          <t>Kabul durumu sonrası fatura kopyası/aktarımı</t>
        </is>
      </c>
      <c r="E32" s="48" t="inlineStr">
        <is>
          <t>Yüksek</t>
        </is>
      </c>
      <c r="F32" s="65" t="inlineStr">
        <is>
          <t>UYGULANDI</t>
        </is>
      </c>
      <c r="G32" s="48" t="inlineStr">
        <is>
          <t>İş akışının sonraki aşaması</t>
        </is>
      </c>
      <c r="H32" s="48" t="n"/>
    </row>
    <row r="33">
      <c r="A33" s="46" t="n"/>
      <c r="B33" s="46" t="n"/>
      <c r="C33" s="46" t="n"/>
      <c r="D33" s="46" t="n"/>
      <c r="E33" s="46" t="n"/>
      <c r="F33" s="46" t="n"/>
      <c r="G33" s="46" t="n"/>
      <c r="H33" s="46" t="n"/>
    </row>
    <row r="34">
      <c r="A34" s="218" t="inlineStr">
        <is>
          <t>Yedek: 8 özgün sekmenin 27.09.2026 16:25 öncesi kopyaları YDK_ önekiyle gizli olarak saklanmaktadır.</t>
        </is>
      </c>
    </row>
    <row r="37" ht="18.75" customHeight="1" s="164">
      <c r="A37" s="219" t="inlineStr">
        <is>
          <t>SON KABUL TESTİ — 27.09.2026 16:00</t>
        </is>
      </c>
    </row>
    <row r="38">
      <c r="A38" s="20" t="inlineStr">
        <is>
          <t>Test</t>
        </is>
      </c>
      <c r="B38" s="20" t="inlineStr">
        <is>
          <t>Sonuç</t>
        </is>
      </c>
      <c r="C38" s="20" t="inlineStr">
        <is>
          <t>Kapsam</t>
        </is>
      </c>
      <c r="D38" s="20" t="n"/>
      <c r="E38" s="20" t="n"/>
      <c r="F38" s="20" t="n"/>
      <c r="G38" s="20" t="n"/>
      <c r="H38" s="20" t="n"/>
    </row>
    <row r="39">
      <c r="A39" t="inlineStr">
        <is>
          <t>Yedekleme</t>
        </is>
      </c>
      <c r="B39" s="21" t="inlineStr">
        <is>
          <t>BAŞARILI</t>
        </is>
      </c>
      <c r="C39" s="181" t="inlineStr">
        <is>
          <t>8 özgün sekme gizli YDK_ kopyalarıyla korundu.</t>
        </is>
      </c>
    </row>
    <row r="40">
      <c r="A40" t="inlineStr">
        <is>
          <t>Teklif hesapları</t>
        </is>
      </c>
      <c r="B40" s="21" t="inlineStr">
        <is>
          <t>BAŞARILI</t>
        </is>
      </c>
      <c r="C40" s="181" t="inlineStr">
        <is>
          <t>23 satır; dolu 4 satırda ara toplam, KDV ve genel toplam mutabık.</t>
        </is>
      </c>
    </row>
    <row r="41">
      <c r="A41" t="inlineStr">
        <is>
          <t>Dinamik katalog</t>
        </is>
      </c>
      <c r="B41" s="21" t="inlineStr">
        <is>
          <t>BAŞARILI</t>
        </is>
      </c>
      <c r="C41" s="181" t="inlineStr">
        <is>
          <t>tblUrunler ve UrunListesi; BAR ve gaz XLOOKUP ile canlı.</t>
        </is>
      </c>
    </row>
    <row r="42">
      <c r="A42" t="inlineStr">
        <is>
          <t>Müşteri sistemi</t>
        </is>
      </c>
      <c r="B42" s="21" t="inlineStr">
        <is>
          <t>BAŞARILI</t>
        </is>
      </c>
      <c r="C42" s="181" t="inlineStr">
        <is>
          <t>tblMusteriler, açılır seçim ve yetkili otomatik doldurma testi başarılı.</t>
        </is>
      </c>
    </row>
    <row r="43">
      <c r="A43" t="inlineStr">
        <is>
          <t>İskonto/koşullar</t>
        </is>
      </c>
      <c r="B43" s="21" t="inlineStr">
        <is>
          <t>BAŞARILI</t>
        </is>
      </c>
      <c r="C43" s="181" t="inlineStr">
        <is>
          <t>%10 stres testi 113.231,02 TL verdi; sonra %0 ve 125.812,25 TL geri yüklendi.</t>
        </is>
      </c>
    </row>
    <row r="44">
      <c r="A44" t="inlineStr">
        <is>
          <t>Arşiv ve günlük</t>
        </is>
      </c>
      <c r="B44" s="21" t="inlineStr">
        <is>
          <t>BAŞARILI</t>
        </is>
      </c>
      <c r="C44" s="181" t="inlineStr">
        <is>
          <t>Tablolar ve tarih uyarıları çalışıyor; geçici test satırları temizlendi.</t>
        </is>
      </c>
    </row>
    <row r="45">
      <c r="A45" t="inlineStr">
        <is>
          <t>Formül koruması</t>
        </is>
      </c>
      <c r="B45" s="21" t="inlineStr">
        <is>
          <t>ETKİN</t>
        </is>
      </c>
      <c r="C45" s="181" t="inlineStr">
        <is>
          <t>Giriş hücreleri açık, hesaplama hücreleri kilitli.</t>
        </is>
      </c>
    </row>
    <row r="46">
      <c r="A46" t="inlineStr">
        <is>
          <t>Fatura taslağı</t>
        </is>
      </c>
      <c r="B46" s="21" t="inlineStr">
        <is>
          <t>BAŞARILI</t>
        </is>
      </c>
      <c r="C46" s="181" t="inlineStr">
        <is>
          <t>FTR-2026-0001; tutar 125.812,25 TL; A4 tek sayfa.</t>
        </is>
      </c>
    </row>
    <row r="47">
      <c r="A47" t="inlineStr">
        <is>
          <t>VBA kaynakları</t>
        </is>
      </c>
      <c r="B47" s="21" t="inlineStr">
        <is>
          <t>BAŞARILI</t>
        </is>
      </c>
      <c r="C47" s="181" t="inlineStr">
        <is>
          <t>27 yordam; yinelenen ad ve dengesiz tırnak yok.</t>
        </is>
      </c>
    </row>
    <row r="48">
      <c r="A48" t="inlineStr">
        <is>
          <t>Yerel VBA güncellemesi</t>
        </is>
      </c>
      <c r="B48" s="242" t="inlineStr">
        <is>
          <t>GEREKLİ</t>
        </is>
      </c>
      <c r="C48" s="181" t="inlineStr">
        <is>
          <t>Yönetim: A450:A589. Günlük entegrasyonu için PDF A262:A343 ve Outlook A350:A441 güncel kaynaklarını modüllere aktarın.</t>
        </is>
      </c>
    </row>
    <row r="51" ht="18.75" customHeight="1" s="164">
      <c r="A51" s="219" t="inlineStr">
        <is>
          <t>MAKRO PAKETİ SON TESTİ</t>
        </is>
      </c>
    </row>
    <row r="52">
      <c r="A52" s="20" t="inlineStr">
        <is>
          <t>Paket</t>
        </is>
      </c>
      <c r="B52" s="20" t="inlineStr">
        <is>
          <t>Durum</t>
        </is>
      </c>
      <c r="C52" s="20" t="inlineStr">
        <is>
          <t>Test sonucu</t>
        </is>
      </c>
      <c r="D52" s="20" t="n"/>
      <c r="E52" s="20" t="n"/>
      <c r="F52" s="20" t="n"/>
      <c r="G52" s="20" t="n"/>
      <c r="H52" s="20" t="n"/>
    </row>
    <row r="53">
      <c r="A53" t="inlineStr">
        <is>
          <t>Kur yenileme</t>
        </is>
      </c>
      <c r="B53" s="21" t="inlineStr">
        <is>
          <t>BAŞARILI</t>
        </is>
      </c>
      <c r="C53" s="181" t="inlineStr">
        <is>
          <t>Yapısal denge, hedef sayfa ve kur tablosu bağlantıları doğru.</t>
        </is>
      </c>
    </row>
    <row r="54">
      <c r="A54" t="inlineStr">
        <is>
          <t>WhatsApp PDF</t>
        </is>
      </c>
      <c r="B54" s="21" t="inlineStr">
        <is>
          <t>BAŞARILI</t>
        </is>
      </c>
      <c r="C54" s="181" t="inlineStr">
        <is>
          <t>Benzersiz yordamlar, FileDropList pano yöntemi ve hata aşamaları mevcut.</t>
        </is>
      </c>
    </row>
    <row r="55">
      <c r="A55" t="inlineStr">
        <is>
          <t>PDF kaydetme</t>
        </is>
      </c>
      <c r="B55" s="21" t="inlineStr">
        <is>
          <t>DÜZELTİLDİ</t>
        </is>
      </c>
      <c r="C55" s="181" t="inlineStr">
        <is>
          <t>İşlem günlüğü çağrısı artık yönetim modülü olmasa da PDF kaydını durdurmaz.</t>
        </is>
      </c>
    </row>
    <row r="56">
      <c r="A56" t="inlineStr">
        <is>
          <t>Outlook taslağı</t>
        </is>
      </c>
      <c r="B56" s="21" t="inlineStr">
        <is>
          <t>DÜZELTİLDİ</t>
        </is>
      </c>
      <c r="C56" s="181" t="inlineStr">
        <is>
          <t>Günlük çağrısı bağımsızlaştırıldı; PDF ekleme sırası doğru.</t>
        </is>
      </c>
    </row>
    <row r="57">
      <c r="A57" t="inlineStr">
        <is>
          <t>Teklif yönetimi</t>
        </is>
      </c>
      <c r="B57" s="21" t="inlineStr">
        <is>
          <t>DÜZELTİLDİ</t>
        </is>
      </c>
      <c r="C57" s="181" t="inlineStr">
        <is>
          <t>Birleşik müşteri giriş alanı güvenli biçimde temizleniyor.</t>
        </is>
      </c>
    </row>
    <row r="58">
      <c r="A58" t="inlineStr">
        <is>
          <t>Arşiv/Günlük</t>
        </is>
      </c>
      <c r="B58" s="21" t="inlineStr">
        <is>
          <t>BAŞARILI</t>
        </is>
      </c>
      <c r="C58" s="181" t="inlineStr">
        <is>
          <t>Geçici satır ekleme ve silme testi başarılı; test kalıntısı yok.</t>
        </is>
      </c>
    </row>
    <row r="59">
      <c r="A59" t="inlineStr">
        <is>
          <t>Çalışma kitabı</t>
        </is>
      </c>
      <c r="B59" s="21" t="inlineStr">
        <is>
          <t>BAŞARILI</t>
        </is>
      </c>
      <c r="C59" s="181" t="inlineStr">
        <is>
          <t>16 aktif sekmede hata/taşma yok; 4 dolu teklif satırı doğru.</t>
        </is>
      </c>
    </row>
    <row r="60">
      <c r="A60" t="inlineStr">
        <is>
          <t>Toplam</t>
        </is>
      </c>
      <c r="B60" s="21" t="inlineStr">
        <is>
          <t>BAŞARILI</t>
        </is>
      </c>
      <c r="C60" s="181" t="inlineStr">
        <is>
          <t>104.843,54 TL + 20.968,71 TL = 125.812,25 TL.</t>
        </is>
      </c>
    </row>
    <row r="61">
      <c r="A61" t="inlineStr">
        <is>
          <t>Yerel VBA çalıştırma</t>
        </is>
      </c>
      <c r="B61" s="242" t="inlineStr">
        <is>
          <t>KULLANICI OTURUMUNDA</t>
        </is>
      </c>
      <c r="C61" s="181" t="inlineStr">
        <is>
          <t>Kaynaklar doğrulandı; gerçek VBA modülleri Excel masaüstünde Derle ile doğrulanmalıdır.</t>
        </is>
      </c>
    </row>
    <row r="62">
      <c r="A62" s="254" t="inlineStr">
        <is>
          <t>MAKRO SON TEST — 27.09.2026 21:00</t>
        </is>
      </c>
      <c r="B62" s="254" t="n"/>
      <c r="C62" s="254" t="n"/>
      <c r="D62" s="254" t="n"/>
      <c r="E62" s="254" t="n"/>
      <c r="F62" s="254" t="n"/>
    </row>
    <row r="63" ht="105" customHeight="1" s="164">
      <c r="A63" s="24" t="inlineStr">
        <is>
          <t>Module1 statik derleme</t>
        </is>
      </c>
      <c r="B63" s="220" t="inlineStr">
        <is>
          <t>BAŞARILI — 565 satır; 27 yordam/27 kapanış; benzersiz adlar; kod yapısı temiz.</t>
        </is>
      </c>
      <c r="C63" s="181" t="inlineStr">
        <is>
          <t>565 satır; 27 yordam/27 kapanış; benzersiz adlar; tanımsız atama, eksik etiket, blok veya tırnak hatası yok.</t>
        </is>
      </c>
    </row>
    <row r="64" ht="18.75" customHeight="1" s="164">
      <c r="A64" s="211" t="inlineStr">
        <is>
          <t>Kur otomasyonu</t>
        </is>
      </c>
    </row>
    <row r="65">
      <c r="A65" s="24" t="inlineStr">
        <is>
          <t>Teklif hesapları</t>
        </is>
      </c>
      <c r="B65" s="220" t="inlineStr">
        <is>
          <t>BAŞARILI — 23/23 satır formülleri; toplam 125.812,25 TL.</t>
        </is>
      </c>
    </row>
    <row r="66">
      <c r="A66" s="24" t="inlineStr">
        <is>
          <t>Nesne bağımlılıkları</t>
        </is>
      </c>
      <c r="B66" s="220" t="inlineStr">
        <is>
          <t>BAŞARILI — 10 sayfa, 4 tablo ve 8 düğme/şekil mevcut.</t>
        </is>
      </c>
    </row>
    <row r="67">
      <c r="A67" s="24" t="inlineStr">
        <is>
          <t>Baskı/PDF düzeni</t>
        </is>
      </c>
      <c r="B67" s="220" t="inlineStr">
        <is>
          <t>BAŞARILI — A1:K40, A4 dikey, 1×1 sayfa.</t>
        </is>
      </c>
    </row>
    <row r="68">
      <c r="A68" s="24" t="inlineStr">
        <is>
          <t>Masaüstü yürütme</t>
        </is>
      </c>
      <c r="B68" s="220" t="inlineStr">
        <is>
          <t>YEREL TEST GEREKİR — PDF/Outlook/WhatsApp ve gerçek VBA yürütmesi.</t>
        </is>
      </c>
    </row>
    <row r="70" ht="15.75" customHeight="1" s="164">
      <c r="A70" s="209" t="inlineStr">
        <is>
          <t>TEKLİF SİSTEMİ — GELİŞTİRME YOL HARİTASI</t>
        </is>
      </c>
    </row>
    <row r="71">
      <c r="A71" s="181" t="n"/>
      <c r="B71" s="181" t="n"/>
      <c r="C71" s="181" t="n"/>
      <c r="D71" s="181" t="n"/>
      <c r="E71" s="181" t="n"/>
      <c r="F71" s="181" t="n"/>
      <c r="G71" s="181" t="n"/>
      <c r="H71" s="181" t="n"/>
    </row>
    <row r="72">
      <c r="A72" s="103" t="inlineStr">
        <is>
          <t>Faz</t>
        </is>
      </c>
      <c r="B72" s="103" t="inlineStr">
        <is>
          <t>Geliştirme</t>
        </is>
      </c>
      <c r="C72" s="103" t="inlineStr">
        <is>
          <t>Amaç</t>
        </is>
      </c>
      <c r="D72" s="103" t="inlineStr">
        <is>
          <t>Uygulama</t>
        </is>
      </c>
      <c r="E72" s="103" t="inlineStr">
        <is>
          <t>Öncelik</t>
        </is>
      </c>
      <c r="F72" s="103" t="inlineStr">
        <is>
          <t>Durum</t>
        </is>
      </c>
      <c r="G72" s="181" t="n"/>
      <c r="H72" s="181" t="n"/>
    </row>
    <row r="73" ht="45" customHeight="1" s="164">
      <c r="A73" s="181" t="n">
        <v>1</v>
      </c>
      <c r="B73" s="181" t="inlineStr">
        <is>
          <t>Kalite ve takip paneli</t>
        </is>
      </c>
      <c r="C73" s="181" t="inlineStr">
        <is>
          <t>Eksik bilgi, vade, kur ve gönderim kontrolü</t>
        </is>
      </c>
      <c r="D73" s="181" t="inlineStr">
        <is>
          <t>Teklif Yönetimi J1:O31</t>
        </is>
      </c>
      <c r="E73" s="181" t="inlineStr">
        <is>
          <t>Yüksek</t>
        </is>
      </c>
      <c r="F73" s="181" t="inlineStr">
        <is>
          <t>UYGULANDI</t>
        </is>
      </c>
      <c r="G73" s="181" t="n"/>
      <c r="H73" s="181" t="n"/>
    </row>
    <row r="74" ht="45" customHeight="1" s="164">
      <c r="A74" s="181" t="n">
        <v>2</v>
      </c>
      <c r="B74" s="181" t="inlineStr">
        <is>
          <t>Versiyon ve müşteri yanıtı</t>
        </is>
      </c>
      <c r="C74" s="181" t="inlineStr">
        <is>
          <t>Revizyon ve geri dönüş geçmişini izleme</t>
        </is>
      </c>
      <c r="D74" s="181" t="inlineStr">
        <is>
          <t>Teklif Arşivi alan genişletmesi</t>
        </is>
      </c>
      <c r="E74" s="181" t="inlineStr">
        <is>
          <t>Orta</t>
        </is>
      </c>
      <c r="F74" s="181" t="inlineStr">
        <is>
          <t>PLANLANDI</t>
        </is>
      </c>
      <c r="G74" s="181" t="n"/>
      <c r="H74" s="181" t="n"/>
    </row>
    <row r="75" ht="45" customHeight="1" s="164">
      <c r="A75" s="181" t="n">
        <v>3</v>
      </c>
      <c r="B75" s="181" t="inlineStr">
        <is>
          <t>E-imza ve otomatik hatırlatma</t>
        </is>
      </c>
      <c r="C75" s="181" t="inlineStr">
        <is>
          <t>Kabul süresini kısaltma ve takip kaybını azaltma</t>
        </is>
      </c>
      <c r="D75" s="181" t="inlineStr">
        <is>
          <t>OneDrive + Power Automate + e-imza sağlayıcısı</t>
        </is>
      </c>
      <c r="E75" s="181" t="inlineStr">
        <is>
          <t>Orta</t>
        </is>
      </c>
      <c r="F75" s="181" t="inlineStr">
        <is>
          <t>PLANLANDI</t>
        </is>
      </c>
      <c r="G75" s="181" t="n"/>
      <c r="H75" s="181" t="n"/>
    </row>
    <row r="77" ht="18.75" customHeight="1" s="164">
      <c r="A77" s="211" t="inlineStr">
        <is>
          <t>MAKRO BAZLI SON KONTROL — 27.09.2026 22:00</t>
        </is>
      </c>
    </row>
    <row r="79">
      <c r="A79" s="103" t="inlineStr">
        <is>
          <t>Makro</t>
        </is>
      </c>
      <c r="B79" s="103" t="inlineStr">
        <is>
          <t>Kaynak</t>
        </is>
      </c>
      <c r="C79" s="103" t="inlineStr">
        <is>
          <t>Bağımlılık</t>
        </is>
      </c>
      <c r="D79" s="103" t="inlineStr">
        <is>
          <t>Canlı Kanıt</t>
        </is>
      </c>
      <c r="E79" s="103" t="inlineStr">
        <is>
          <t>Sonuç</t>
        </is>
      </c>
      <c r="F79" s="103" t="inlineStr">
        <is>
          <t>Not</t>
        </is>
      </c>
    </row>
    <row r="80" ht="30" customHeight="1" s="164">
      <c r="A80" s="181" t="inlineStr">
        <is>
          <t>IsBankasiKurlariGuncelleV3</t>
        </is>
      </c>
      <c r="B80" s="181" t="inlineStr">
        <is>
          <t>BAŞARILI</t>
        </is>
      </c>
      <c r="C80" s="181" t="inlineStr">
        <is>
          <t>BAŞARILI</t>
        </is>
      </c>
      <c r="D80" s="181" t="inlineStr">
        <is>
          <t>v6 yerel kurulum gerekli</t>
        </is>
      </c>
      <c r="E80" s="181" t="inlineStr">
        <is>
          <t>HAZIR</t>
        </is>
      </c>
      <c r="F80" s="181" t="inlineStr">
        <is>
          <t>Sessiz açılış + doğrulamalı regex</t>
        </is>
      </c>
    </row>
    <row r="81" ht="30" customHeight="1" s="164">
      <c r="A81" s="181" t="inlineStr">
        <is>
          <t>TeklifiWhatsAppPDFGonderV5</t>
        </is>
      </c>
      <c r="B81" s="181" t="inlineStr">
        <is>
          <t>BAŞARILI</t>
        </is>
      </c>
      <c r="C81" s="181" t="inlineStr">
        <is>
          <t>BAŞARILI</t>
        </is>
      </c>
      <c r="D81" s="181" t="inlineStr">
        <is>
          <t>Yerel kullanıcı testi</t>
        </is>
      </c>
      <c r="E81" s="181" t="inlineStr">
        <is>
          <t>HAZIR</t>
        </is>
      </c>
      <c r="F81" s="181" t="inlineStr">
        <is>
          <t>Windows/PowerShell/WhatsApp Web gerekir</t>
        </is>
      </c>
    </row>
    <row r="82">
      <c r="A82" s="181" t="inlineStr">
        <is>
          <t>TumFonksiyonlariTestEtV5</t>
        </is>
      </c>
      <c r="B82" s="181" t="inlineStr">
        <is>
          <t>BAŞARILI</t>
        </is>
      </c>
      <c r="C82" s="181" t="inlineStr">
        <is>
          <t>BAŞARILI</t>
        </is>
      </c>
      <c r="D82" s="181" t="inlineStr">
        <is>
          <t>Formül testi 166.718,79 TL</t>
        </is>
      </c>
      <c r="E82" s="181" t="inlineStr">
        <is>
          <t>BAŞARILI</t>
        </is>
      </c>
      <c r="F82" s="181" t="inlineStr">
        <is>
          <t>Test satırı geri yüklendi</t>
        </is>
      </c>
    </row>
    <row r="83">
      <c r="A83" s="181" t="inlineStr">
        <is>
          <t>TeklifiMasaustunePDFKaydetV2</t>
        </is>
      </c>
      <c r="B83" s="181" t="inlineStr">
        <is>
          <t>BAŞARILI</t>
        </is>
      </c>
      <c r="C83" s="181" t="inlineStr">
        <is>
          <t>BAŞARILI</t>
        </is>
      </c>
      <c r="D83" s="181" t="inlineStr">
        <is>
          <t>Outlook akışında PDF üretildi</t>
        </is>
      </c>
      <c r="E83" s="181" t="inlineStr">
        <is>
          <t>BAŞARILI</t>
        </is>
      </c>
      <c r="F83" s="181" t="inlineStr">
        <is>
          <t>A4 tek sayfa</t>
        </is>
      </c>
    </row>
    <row r="84">
      <c r="A84" s="181" t="inlineStr">
        <is>
          <t>PDFDugmesiniBaglaV2</t>
        </is>
      </c>
      <c r="B84" s="181" t="inlineStr">
        <is>
          <t>BAŞARILI</t>
        </is>
      </c>
      <c r="C84" s="181" t="inlineStr">
        <is>
          <t>BAŞARILI</t>
        </is>
      </c>
      <c r="D84" s="181" t="inlineStr">
        <is>
          <t>Düğme mevcut</t>
        </is>
      </c>
      <c r="E84" s="181" t="inlineStr">
        <is>
          <t>HAZIR</t>
        </is>
      </c>
      <c r="F84" s="181" t="inlineStr">
        <is>
          <t>Bir kez çalıştırılır</t>
        </is>
      </c>
    </row>
    <row r="85" ht="30" customHeight="1" s="164">
      <c r="A85" s="181" t="inlineStr">
        <is>
          <t>PDFKaydetTestiV2</t>
        </is>
      </c>
      <c r="B85" s="181" t="inlineStr">
        <is>
          <t>BAŞARILI</t>
        </is>
      </c>
      <c r="C85" s="181" t="inlineStr">
        <is>
          <t>BAŞARILI</t>
        </is>
      </c>
      <c r="D85" s="181" t="inlineStr">
        <is>
          <t>Yerel dosya sistemi</t>
        </is>
      </c>
      <c r="E85" s="181" t="inlineStr">
        <is>
          <t>HAZIR</t>
        </is>
      </c>
      <c r="F85" s="181" t="inlineStr">
        <is>
          <t>Masaüstünde çalıştırılabilir</t>
        </is>
      </c>
    </row>
    <row r="86">
      <c r="A86" s="181" t="inlineStr">
        <is>
          <t>TeklifiOutlookPDFTaslakV1</t>
        </is>
      </c>
      <c r="B86" s="181" t="inlineStr">
        <is>
          <t>BAŞARILI</t>
        </is>
      </c>
      <c r="C86" s="181" t="inlineStr">
        <is>
          <t>BAŞARILI</t>
        </is>
      </c>
      <c r="D86" s="181" t="inlineStr">
        <is>
          <t>İşlem günlüğünde başarılı</t>
        </is>
      </c>
      <c r="E86" s="181" t="inlineStr">
        <is>
          <t>BAŞARILI</t>
        </is>
      </c>
      <c r="F86" s="181" t="inlineStr">
        <is>
          <t>Klasik Outlook gerekir</t>
        </is>
      </c>
    </row>
    <row r="87">
      <c r="A87" s="181" t="inlineStr">
        <is>
          <t>OutlookDugmesiniBaglaV1</t>
        </is>
      </c>
      <c r="B87" s="181" t="inlineStr">
        <is>
          <t>BAŞARILI</t>
        </is>
      </c>
      <c r="C87" s="181" t="inlineStr">
        <is>
          <t>BAŞARILI</t>
        </is>
      </c>
      <c r="D87" s="181" t="inlineStr">
        <is>
          <t>Düğme mevcut</t>
        </is>
      </c>
      <c r="E87" s="181" t="inlineStr">
        <is>
          <t>HAZIR</t>
        </is>
      </c>
      <c r="F87" s="181" t="inlineStr">
        <is>
          <t>Bir kez çalıştırılır</t>
        </is>
      </c>
    </row>
    <row r="88">
      <c r="A88" s="181" t="inlineStr">
        <is>
          <t>OutlookPDFTestiV1</t>
        </is>
      </c>
      <c r="B88" s="181" t="inlineStr">
        <is>
          <t>BAŞARILI</t>
        </is>
      </c>
      <c r="C88" s="181" t="inlineStr">
        <is>
          <t>BAŞARILI</t>
        </is>
      </c>
      <c r="D88" s="181" t="inlineStr">
        <is>
          <t>Outlook taslağı açıldı</t>
        </is>
      </c>
      <c r="E88" s="181" t="inlineStr">
        <is>
          <t>BAŞARILI</t>
        </is>
      </c>
      <c r="F88" s="181" t="inlineStr">
        <is>
          <t>Klasik Outlook</t>
        </is>
      </c>
    </row>
    <row r="89">
      <c r="A89" s="181" t="inlineStr">
        <is>
          <t>YeniTeklifV2</t>
        </is>
      </c>
      <c r="B89" s="181" t="inlineStr">
        <is>
          <t>BAŞARILI</t>
        </is>
      </c>
      <c r="C89" s="181" t="inlineStr">
        <is>
          <t>BAŞARILI</t>
        </is>
      </c>
      <c r="D89" s="181" t="inlineStr">
        <is>
          <t>Koruma/ayarlar doğrulandı</t>
        </is>
      </c>
      <c r="E89" s="181" t="inlineStr">
        <is>
          <t>HAZIR</t>
        </is>
      </c>
      <c r="F89" s="181" t="inlineStr">
        <is>
          <t>Mevcut teklifi sıfırlar</t>
        </is>
      </c>
    </row>
    <row r="90">
      <c r="A90" s="181" t="inlineStr">
        <is>
          <t>TeklifiArsivleV2</t>
        </is>
      </c>
      <c r="B90" s="181" t="inlineStr">
        <is>
          <t>BAŞARILI</t>
        </is>
      </c>
      <c r="C90" s="181" t="inlineStr">
        <is>
          <t>BAŞARILI</t>
        </is>
      </c>
      <c r="D90" s="181" t="inlineStr">
        <is>
          <t>Arşiv tablosu hazır</t>
        </is>
      </c>
      <c r="E90" s="181" t="inlineStr">
        <is>
          <t>HAZIR</t>
        </is>
      </c>
      <c r="F90" s="181" t="inlineStr">
        <is>
          <t>Müşteri bilgisi zorunlu</t>
        </is>
      </c>
    </row>
    <row r="91">
      <c r="A91" s="181" t="inlineStr">
        <is>
          <t>TeklifiFaturayaAktarV2</t>
        </is>
      </c>
      <c r="B91" s="181" t="inlineStr">
        <is>
          <t>BAŞARILI</t>
        </is>
      </c>
      <c r="C91" s="181" t="inlineStr">
        <is>
          <t>BAŞARILI</t>
        </is>
      </c>
      <c r="D91" s="181" t="inlineStr">
        <is>
          <t>Fatura sayfası hazır</t>
        </is>
      </c>
      <c r="E91" s="181" t="inlineStr">
        <is>
          <t>HAZIR</t>
        </is>
      </c>
      <c r="F91" s="181" t="inlineStr">
        <is>
          <t>Formüller korunur</t>
        </is>
      </c>
    </row>
    <row r="92">
      <c r="A92" s="181" t="inlineStr">
        <is>
          <t>YonetimDugmeleriniBaglaV2</t>
        </is>
      </c>
      <c r="B92" s="181" t="inlineStr">
        <is>
          <t>BAŞARILI</t>
        </is>
      </c>
      <c r="C92" s="181" t="inlineStr">
        <is>
          <t>BAŞARILI</t>
        </is>
      </c>
      <c r="D92" s="181" t="inlineStr">
        <is>
          <t>6 yönetim düğmesi mevcut</t>
        </is>
      </c>
      <c r="E92" s="181" t="inlineStr">
        <is>
          <t>HAZIR</t>
        </is>
      </c>
      <c r="F92" s="181" t="inlineStr">
        <is>
          <t>Bir kez çalıştırılır</t>
        </is>
      </c>
    </row>
    <row r="93">
      <c r="A93" s="181" t="inlineStr">
        <is>
          <t>TeklifSayfasiniKoruV2</t>
        </is>
      </c>
      <c r="B93" s="181" t="inlineStr">
        <is>
          <t>BAŞARILI</t>
        </is>
      </c>
      <c r="C93" s="181" t="inlineStr">
        <is>
          <t>BAŞARILI</t>
        </is>
      </c>
      <c r="D93" s="181" t="inlineStr">
        <is>
          <t>Sayfa korumalı</t>
        </is>
      </c>
      <c r="E93" s="181" t="inlineStr">
        <is>
          <t>BAŞARILI</t>
        </is>
      </c>
      <c r="F93" s="181" t="inlineStr">
        <is>
          <t>Giriş hücreleri açık</t>
        </is>
      </c>
    </row>
    <row r="94">
      <c r="A94" s="181" t="inlineStr">
        <is>
          <t>TeklifSayfasiKorumasiniKaldirV2</t>
        </is>
      </c>
      <c r="B94" s="181" t="inlineStr">
        <is>
          <t>BAŞARILI</t>
        </is>
      </c>
      <c r="C94" s="181" t="inlineStr">
        <is>
          <t>BAŞARILI</t>
        </is>
      </c>
      <c r="D94" s="181" t="inlineStr">
        <is>
          <t>Koruma nesnesi mevcut</t>
        </is>
      </c>
      <c r="E94" s="181" t="inlineStr">
        <is>
          <t>HAZIR</t>
        </is>
      </c>
      <c r="F94" s="181" t="inlineStr">
        <is>
          <t>Gerektiğinde kullanılır</t>
        </is>
      </c>
    </row>
    <row r="95">
      <c r="A95" s="181" t="inlineStr">
        <is>
          <t>TeklifIslemLoguV2</t>
        </is>
      </c>
      <c r="B95" s="181" t="inlineStr">
        <is>
          <t>BAŞARILI</t>
        </is>
      </c>
      <c r="C95" s="181" t="inlineStr">
        <is>
          <t>BAŞARILI</t>
        </is>
      </c>
      <c r="D95" s="181" t="inlineStr">
        <is>
          <t>2 günlük kaydı mevcut</t>
        </is>
      </c>
      <c r="E95" s="181" t="inlineStr">
        <is>
          <t>BAŞARILI</t>
        </is>
      </c>
      <c r="F95" s="181" t="inlineStr">
        <is>
          <t>PDF/Outlook kayıtları</t>
        </is>
      </c>
    </row>
    <row r="98" ht="15.75" customHeight="1" s="164">
      <c r="A98" s="209" t="inlineStr">
        <is>
          <t>SEKME ENVANTERİ VE SADELEŞTİRME — 33 SEKME</t>
        </is>
      </c>
    </row>
    <row r="99">
      <c r="A99" s="103" t="inlineStr">
        <is>
          <t>Kategori</t>
        </is>
      </c>
      <c r="B99" s="103" t="inlineStr">
        <is>
          <t>Sekme Grubu</t>
        </is>
      </c>
      <c r="C99" s="103" t="inlineStr">
        <is>
          <t>Adet</t>
        </is>
      </c>
      <c r="D99" s="103" t="inlineStr">
        <is>
          <t>Bağımlılık</t>
        </is>
      </c>
      <c r="E99" s="103" t="inlineStr">
        <is>
          <t>Öneri</t>
        </is>
      </c>
      <c r="F99" s="103" t="inlineStr">
        <is>
          <t>Gerekçe</t>
        </is>
      </c>
      <c r="G99" s="103" t="n"/>
      <c r="H99" s="103" t="n"/>
    </row>
    <row r="100" ht="60" customHeight="1" s="164">
      <c r="A100" s="108" t="inlineStr">
        <is>
          <t>KALMALI</t>
        </is>
      </c>
      <c r="B100" s="108" t="inlineStr">
        <is>
          <t>Operasyonel sekmeler</t>
        </is>
      </c>
      <c r="C100" s="108" t="n">
        <v>13</v>
      </c>
      <c r="D100" s="108" t="inlineStr">
        <is>
          <t>Aktif</t>
        </is>
      </c>
      <c r="E100" s="108" t="inlineStr">
        <is>
          <t>KORU</t>
        </is>
      </c>
      <c r="F100" s="108" t="inlineStr">
        <is>
          <t>Teklif, ürün, fatura, analiz, kur, müşteri, arşiv, günlük ve yönetim akışı</t>
        </is>
      </c>
      <c r="G100" s="181" t="n"/>
      <c r="H100" s="181" t="n"/>
    </row>
    <row r="101" ht="60" customHeight="1" s="164">
      <c r="A101" s="258" t="inlineStr">
        <is>
          <t>İSTEĞE BAĞLI</t>
        </is>
      </c>
      <c r="B101" s="258" t="inlineStr">
        <is>
          <t>Teknik/kurulum sekmeleri</t>
        </is>
      </c>
      <c r="C101" s="258" t="n">
        <v>11</v>
      </c>
      <c r="D101" s="258" t="inlineStr">
        <is>
          <t>Operasyonel formül bağı yok</t>
        </is>
      </c>
      <c r="E101" s="258" t="inlineStr">
        <is>
          <t>GİZLENEBİLİR</t>
        </is>
      </c>
      <c r="F101" s="258" t="inlineStr">
        <is>
          <t>Kurulum ve bakım sırasında yararlı; günlük kullanımda sekme kalabalığı yaratır</t>
        </is>
      </c>
      <c r="G101" s="181" t="n"/>
      <c r="H101" s="181" t="n"/>
    </row>
    <row r="102" ht="45" customHeight="1" s="164">
      <c r="A102" s="109" t="inlineStr">
        <is>
          <t>SİLME ADAYI</t>
        </is>
      </c>
      <c r="B102" s="109" t="inlineStr">
        <is>
          <t>YDK tarihli yedekler</t>
        </is>
      </c>
      <c r="C102" s="109" t="n">
        <v>8</v>
      </c>
      <c r="D102" s="109" t="inlineStr">
        <is>
          <t>Hiçbir formül/ad/VBA referansı yok</t>
        </is>
      </c>
      <c r="E102" s="109" t="inlineStr">
        <is>
          <t>DIŞA YEDEKLE, SONRA SİL</t>
        </is>
      </c>
      <c r="F102" s="109" t="inlineStr">
        <is>
          <t>Eski ve gizli anlık kopyalar; güncel sistem tarafından kullanılmıyor</t>
        </is>
      </c>
      <c r="G102" s="181" t="n"/>
      <c r="H102" s="181" t="n"/>
    </row>
    <row r="103" ht="45" customHeight="1" s="164">
      <c r="A103" s="109" t="inlineStr">
        <is>
          <t>SİLME ADAYI</t>
        </is>
      </c>
      <c r="B103" s="109" t="inlineStr">
        <is>
          <t>VBA Kodu</t>
        </is>
      </c>
      <c r="C103" s="109" t="n">
        <v>1</v>
      </c>
      <c r="D103" s="109" t="inlineStr">
        <is>
          <t>Hiçbir formül/ad/VBA referansı yok</t>
        </is>
      </c>
      <c r="E103" s="109" t="inlineStr">
        <is>
          <t>SİLİNEBİLİR</t>
        </is>
      </c>
      <c r="F103" s="109" t="inlineStr">
        <is>
          <t>Sayfa açıkça eski kaynak olarak işaretli; TEK VBA MODÜLÜ güncel kaynak</t>
        </is>
      </c>
      <c r="G103" s="181" t="n"/>
      <c r="H103" s="181" t="n"/>
    </row>
    <row r="104">
      <c r="A104" s="181" t="n"/>
      <c r="B104" s="181" t="n"/>
      <c r="C104" s="181" t="n"/>
      <c r="D104" s="181" t="n"/>
      <c r="E104" s="181" t="n"/>
      <c r="F104" s="181" t="n"/>
      <c r="G104" s="181" t="n"/>
      <c r="H104" s="181" t="n"/>
    </row>
    <row r="105">
      <c r="A105" s="208" t="inlineStr">
        <is>
          <t>KALMASI GEREKEN 13 SEKME</t>
        </is>
      </c>
    </row>
    <row r="106">
      <c r="A106" s="181" t="inlineStr">
        <is>
          <t>Teklif Formu • Urunler • Fatura • Analiz Özeti • Kur Bilgisi • PDF Kaydet • Outlook E-posta</t>
        </is>
      </c>
    </row>
    <row r="107">
      <c r="A107" s="181" t="inlineStr">
        <is>
          <t>Sistem Kontrolü • Ayarlar • Müşteriler • Teklif Arşivi • İşlem Günlüğü • Teklif Yönetimi</t>
        </is>
      </c>
    </row>
    <row r="108">
      <c r="A108" s="181" t="n"/>
      <c r="B108" s="181" t="n"/>
      <c r="C108" s="181" t="n"/>
      <c r="D108" s="181" t="n"/>
      <c r="E108" s="181" t="n"/>
      <c r="F108" s="181" t="n"/>
      <c r="G108" s="181" t="n"/>
      <c r="H108" s="181" t="n"/>
    </row>
    <row r="109">
      <c r="A109" s="208" t="inlineStr">
        <is>
          <t>GİZLENEBİLİR 11 TEKNİK SEKME</t>
        </is>
      </c>
    </row>
    <row r="110">
      <c r="A110" s="181" t="inlineStr">
        <is>
          <t>Power Automate • PDF VBA Kopyala • WhatsApp VBA Kopyala • Kurulum Rehberi • Kur VBA Kopyala</t>
        </is>
      </c>
    </row>
    <row r="111">
      <c r="A111" s="181" t="inlineStr">
        <is>
          <t>Outlook VBA Kopyala • Yönetim VBA Kopyala • ThisWorkbook Kodu • VBA Kurulum Merkezi • TEK VBA MODÜLÜ • VBA Otomatik Kurulum</t>
        </is>
      </c>
    </row>
    <row r="112">
      <c r="A112" s="181" t="n"/>
      <c r="B112" s="181" t="n"/>
      <c r="C112" s="181" t="n"/>
      <c r="D112" s="181" t="n"/>
      <c r="E112" s="181" t="n"/>
      <c r="F112" s="181" t="n"/>
      <c r="G112" s="181" t="n"/>
      <c r="H112" s="181" t="n"/>
    </row>
    <row r="113">
      <c r="A113" s="208" t="inlineStr">
        <is>
          <t>SİLME ADAYI 9 SEKME — ÖNCE DOSYA YEDEĞİ ALIN</t>
        </is>
      </c>
    </row>
    <row r="114">
      <c r="A114" s="181" t="inlineStr">
        <is>
          <t>VBA Kodu • YDK_Sistem_Kontrolü_0927_1625 • YDK_Outlook_Eposta_0927_1625 • YDK_PDF_Kaydet_0927_1625</t>
        </is>
      </c>
    </row>
    <row r="115">
      <c r="A115" s="181" t="inlineStr">
        <is>
          <t>YDK_VBA_Kodu_0927_1625 • YDK_Kur_Bilgisi_0927_1625 • YDK_Analiz_Özeti_0927_1625 • YDK_Urunler_0927_1625 • YDK_Teklif_Formu_0927_1625</t>
        </is>
      </c>
    </row>
    <row r="116">
      <c r="A116" s="181" t="n"/>
      <c r="B116" s="181" t="n"/>
      <c r="C116" s="181" t="n"/>
      <c r="D116" s="181" t="n"/>
      <c r="E116" s="181" t="n"/>
      <c r="F116" s="181" t="n"/>
      <c r="G116" s="181" t="n"/>
      <c r="H116" s="181" t="n"/>
    </row>
    <row r="117">
      <c r="A117" s="181" t="inlineStr">
        <is>
          <t>BAĞIMLILIK SONUCU</t>
        </is>
      </c>
    </row>
  </sheetData>
  <mergeCells count="50">
    <mergeCell ref="C41:H41"/>
    <mergeCell ref="C47:H47"/>
    <mergeCell ref="C54:H54"/>
    <mergeCell ref="C55:H55"/>
    <mergeCell ref="E6:F7"/>
    <mergeCell ref="A114:H114"/>
    <mergeCell ref="C44:H44"/>
    <mergeCell ref="G6:H7"/>
    <mergeCell ref="B68:H68"/>
    <mergeCell ref="B65:H65"/>
    <mergeCell ref="A51:H51"/>
    <mergeCell ref="A64:H64"/>
    <mergeCell ref="C40:H40"/>
    <mergeCell ref="C5:D5"/>
    <mergeCell ref="E5:F5"/>
    <mergeCell ref="A98:H98"/>
    <mergeCell ref="A107:H107"/>
    <mergeCell ref="C43:H43"/>
    <mergeCell ref="C56:H56"/>
    <mergeCell ref="A110:H110"/>
    <mergeCell ref="C59:H59"/>
    <mergeCell ref="A70:H70"/>
    <mergeCell ref="C46:H46"/>
    <mergeCell ref="C60:H60"/>
    <mergeCell ref="C61:H61"/>
    <mergeCell ref="C39:H39"/>
    <mergeCell ref="C48:H48"/>
    <mergeCell ref="A37:H37"/>
    <mergeCell ref="B66:H66"/>
    <mergeCell ref="A3:H3"/>
    <mergeCell ref="C57:H57"/>
    <mergeCell ref="A105:H105"/>
    <mergeCell ref="C6:D7"/>
    <mergeCell ref="A113:H113"/>
    <mergeCell ref="C53:H53"/>
    <mergeCell ref="A5:B5"/>
    <mergeCell ref="G5:H5"/>
    <mergeCell ref="A1:H2"/>
    <mergeCell ref="A77:F77"/>
    <mergeCell ref="B67:H67"/>
    <mergeCell ref="A106:H106"/>
    <mergeCell ref="C42:H42"/>
    <mergeCell ref="C58:H58"/>
    <mergeCell ref="A109:H109"/>
    <mergeCell ref="C45:H45"/>
    <mergeCell ref="A6:B7"/>
    <mergeCell ref="A115:H115"/>
    <mergeCell ref="A117:H117"/>
    <mergeCell ref="A111:H111"/>
    <mergeCell ref="A34:H34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ayfa17">
    <outlinePr summaryBelow="1" summaryRight="1"/>
    <pageSetUpPr/>
  </sheetPr>
  <dimension ref="A1:H34"/>
  <sheetViews>
    <sheetView workbookViewId="0">
      <selection activeCell="A350" sqref="A350:XFD441"/>
    </sheetView>
  </sheetViews>
  <sheetFormatPr baseColWidth="8" defaultRowHeight="15"/>
  <cols>
    <col width="8.5703125" customWidth="1" style="164" min="1" max="1"/>
    <col width="24.7109375" customWidth="1" style="164" min="2" max="2"/>
    <col width="17.140625" customWidth="1" style="164" min="3" max="3"/>
    <col width="36.140625" customWidth="1" style="164" min="4" max="4"/>
    <col width="17.140625" customWidth="1" style="164" min="5" max="5"/>
    <col width="22.85546875" customWidth="1" style="164" min="6" max="6"/>
    <col width="33.28515625" customWidth="1" style="164" min="7" max="7"/>
    <col width="6.7109375" customWidth="1" style="164" min="8" max="8"/>
  </cols>
  <sheetData>
    <row r="1">
      <c r="A1" s="213" t="inlineStr">
        <is>
          <t>TEKLİF SİSTEMİ — KONTROL VE GELİŞTİRME RAPORU</t>
        </is>
      </c>
    </row>
    <row r="2"/>
    <row r="3">
      <c r="A3" s="214" t="inlineStr">
        <is>
          <t>27.09.2026 tarihli kapsamlı denetim • Formüller, ürünler, kurlar, PDF, Outlook, baskı ve VBA kaynakları</t>
        </is>
      </c>
    </row>
    <row r="4">
      <c r="A4" s="46" t="n"/>
      <c r="B4" s="46" t="n"/>
      <c r="C4" s="46" t="n"/>
      <c r="D4" s="46" t="n"/>
      <c r="E4" s="46" t="n"/>
      <c r="F4" s="46" t="n"/>
      <c r="G4" s="46" t="n"/>
      <c r="H4" s="46" t="n"/>
    </row>
    <row r="5">
      <c r="A5" s="215" t="inlineStr">
        <is>
          <t>GENEL DURUM</t>
        </is>
      </c>
      <c r="C5" s="215" t="inlineStr">
        <is>
          <t>TEKLİF TOPLAMI</t>
        </is>
      </c>
      <c r="E5" s="215" t="inlineStr">
        <is>
          <t>ÜRÜN SAYISI</t>
        </is>
      </c>
      <c r="G5" s="215" t="inlineStr">
        <is>
          <t>DOLU SATIR</t>
        </is>
      </c>
    </row>
    <row r="6">
      <c r="A6" s="216" t="inlineStr">
        <is>
          <t>ÇALIŞIYOR</t>
        </is>
      </c>
      <c r="C6" s="217">
        <f>'Teklif Formu'!K33</f>
        <v/>
      </c>
      <c r="E6" s="216">
        <f>COUNTA(Urunler!A2:A11)</f>
        <v/>
      </c>
      <c r="G6" s="216">
        <f>COUNTIF('Teklif Formu'!A8:A30,"&lt;&gt;")</f>
        <v/>
      </c>
    </row>
    <row r="7"/>
    <row r="8">
      <c r="A8" s="46" t="n"/>
      <c r="B8" s="46" t="n"/>
      <c r="C8" s="46" t="n"/>
      <c r="D8" s="46" t="n"/>
      <c r="E8" s="46" t="n"/>
      <c r="F8" s="46" t="n"/>
      <c r="G8" s="46" t="n"/>
      <c r="H8" s="46" t="n"/>
    </row>
    <row r="9">
      <c r="A9" s="46" t="n"/>
      <c r="B9" s="46" t="n"/>
      <c r="C9" s="46" t="n"/>
      <c r="D9" s="46" t="n"/>
      <c r="E9" s="46" t="n"/>
      <c r="F9" s="46" t="n"/>
      <c r="G9" s="46" t="n"/>
      <c r="H9" s="46" t="n"/>
    </row>
    <row r="10">
      <c r="A10" s="47" t="inlineStr">
        <is>
          <t>No</t>
        </is>
      </c>
      <c r="B10" s="47" t="inlineStr">
        <is>
          <t>Alan</t>
        </is>
      </c>
      <c r="C10" s="47" t="inlineStr">
        <is>
          <t>Durum</t>
        </is>
      </c>
      <c r="D10" s="47" t="inlineStr">
        <is>
          <t>Kontrol</t>
        </is>
      </c>
      <c r="E10" s="47" t="inlineStr">
        <is>
          <t>Sonuç</t>
        </is>
      </c>
      <c r="F10" s="47" t="inlineStr">
        <is>
          <t>Aksiyon</t>
        </is>
      </c>
      <c r="G10" s="48" t="n"/>
      <c r="H10" s="48" t="n"/>
    </row>
    <row r="11" ht="75" customHeight="1" s="164">
      <c r="A11" s="48" t="n">
        <v>1</v>
      </c>
      <c r="B11" s="48" t="inlineStr">
        <is>
          <t>Teklif hesapları</t>
        </is>
      </c>
      <c r="C11" s="49" t="inlineStr">
        <is>
          <t>BAŞARILI</t>
        </is>
      </c>
      <c r="D11" s="48" t="inlineStr">
        <is>
          <t>23 satır ve toplam mutabakatı</t>
        </is>
      </c>
      <c r="E11" s="48" t="inlineStr">
        <is>
          <t>Ara toplam 104.843,54 TL; KDV 20.968,71 TL; genel toplam 125.812,25 TL</t>
        </is>
      </c>
      <c r="F11" s="48" t="inlineStr">
        <is>
          <t>Yok</t>
        </is>
      </c>
      <c r="G11" s="48" t="n"/>
      <c r="H11" s="48" t="n"/>
    </row>
    <row r="12" ht="30" customHeight="1" s="164">
      <c r="A12" s="48" t="n">
        <v>2</v>
      </c>
      <c r="B12" s="48" t="inlineStr">
        <is>
          <t>Ürün kataloğu</t>
        </is>
      </c>
      <c r="C12" s="49" t="inlineStr">
        <is>
          <t>BAŞARILI</t>
        </is>
      </c>
      <c r="D12" s="48" t="inlineStr">
        <is>
          <t>10 ürün, benzersizlik ve pozitif değerler</t>
        </is>
      </c>
      <c r="E12" s="48" t="inlineStr">
        <is>
          <t>10/10 ürün geçerli</t>
        </is>
      </c>
      <c r="F12" s="48" t="inlineStr">
        <is>
          <t>Yok</t>
        </is>
      </c>
      <c r="G12" s="48" t="n"/>
      <c r="H12" s="48" t="n"/>
    </row>
    <row r="13" ht="30" customHeight="1" s="164">
      <c r="A13" s="48" t="n">
        <v>3</v>
      </c>
      <c r="B13" s="48" t="inlineStr">
        <is>
          <t>Döviz kurları</t>
        </is>
      </c>
      <c r="C13" s="49" t="inlineStr">
        <is>
          <t>BAŞARILI</t>
        </is>
      </c>
      <c r="D13" s="48" t="inlineStr">
        <is>
          <t>TRY, USD, EUR, GBP eşleşmesi</t>
        </is>
      </c>
      <c r="E13" s="48" t="inlineStr">
        <is>
          <t>4/4 kur pozitif ve benzersiz</t>
        </is>
      </c>
      <c r="F13" s="48" t="inlineStr">
        <is>
          <t>Yok</t>
        </is>
      </c>
      <c r="G13" s="48" t="n"/>
      <c r="H13" s="48" t="n"/>
    </row>
    <row r="14" ht="45" customHeight="1" s="164">
      <c r="A14" s="48" t="n">
        <v>4</v>
      </c>
      <c r="B14" s="48" t="inlineStr">
        <is>
          <t>Formüller</t>
        </is>
      </c>
      <c r="C14" s="49" t="inlineStr">
        <is>
          <t>BAŞARILI</t>
        </is>
      </c>
      <c r="D14" s="48" t="inlineStr">
        <is>
          <t>Tüm sekmelerde hata ve taşma taraması</t>
        </is>
      </c>
      <c r="E14" s="48" t="inlineStr">
        <is>
          <t>Hata değerleri ve sütun taşmaları bulunmadı</t>
        </is>
      </c>
      <c r="F14" s="48" t="inlineStr">
        <is>
          <t>Yok</t>
        </is>
      </c>
      <c r="G14" s="48" t="n"/>
      <c r="H14" s="48" t="n"/>
    </row>
    <row r="15" ht="45" customHeight="1" s="164">
      <c r="A15" s="48" t="n">
        <v>5</v>
      </c>
      <c r="B15" s="48" t="inlineStr">
        <is>
          <t>Analiz Özeti</t>
        </is>
      </c>
      <c r="C15" s="49" t="inlineStr">
        <is>
          <t>DÜZELTİLDİ</t>
        </is>
      </c>
      <c r="D15" s="48" t="inlineStr">
        <is>
          <t>Bulguların veri değişince güncellenmesi</t>
        </is>
      </c>
      <c r="E15" s="48" t="inlineStr">
        <is>
          <t>A24:A27 artık canlı formüllere bağlı</t>
        </is>
      </c>
      <c r="F15" s="48" t="inlineStr">
        <is>
          <t>Tamamlandı</t>
        </is>
      </c>
      <c r="G15" s="48" t="n"/>
      <c r="H15" s="48" t="n"/>
    </row>
    <row r="16" ht="45" customHeight="1" s="164">
      <c r="A16" s="48" t="n">
        <v>6</v>
      </c>
      <c r="B16" s="48" t="inlineStr">
        <is>
          <t>Baskı/PDF</t>
        </is>
      </c>
      <c r="C16" s="49" t="inlineStr">
        <is>
          <t>BAŞARILI</t>
        </is>
      </c>
      <c r="D16" s="48" t="inlineStr">
        <is>
          <t>A4 yön ve ölçek</t>
        </is>
      </c>
      <c r="E16" s="48" t="inlineStr">
        <is>
          <t>Dikey, 1 sayfa genişlik × 1 sayfa yükseklik</t>
        </is>
      </c>
      <c r="F16" s="48" t="inlineStr">
        <is>
          <t>Yok</t>
        </is>
      </c>
      <c r="G16" s="48" t="n"/>
      <c r="H16" s="48" t="n"/>
    </row>
    <row r="17" ht="45" customHeight="1" s="164">
      <c r="A17" s="48" t="n">
        <v>7</v>
      </c>
      <c r="B17" s="48" t="inlineStr">
        <is>
          <t>VBA kaynakları</t>
        </is>
      </c>
      <c r="C17" s="49" t="inlineStr">
        <is>
          <t>BAŞARILI</t>
        </is>
      </c>
      <c r="D17" s="48" t="inlineStr">
        <is>
          <t>20 yordam, ad ve tırnak kontrolü</t>
        </is>
      </c>
      <c r="E17" s="48" t="inlineStr">
        <is>
          <t>Yinelenen yordam adı ve yapısal hata yok</t>
        </is>
      </c>
      <c r="F17" s="48" t="inlineStr">
        <is>
          <t>Gerçek modüller sürümle eşlenmeli</t>
        </is>
      </c>
      <c r="G17" s="48" t="n"/>
      <c r="H17" s="48" t="n"/>
    </row>
    <row r="18" ht="75" customHeight="1" s="164">
      <c r="A18" s="48" t="n">
        <v>8</v>
      </c>
      <c r="B18" s="48" t="inlineStr">
        <is>
          <t>Outlook</t>
        </is>
      </c>
      <c r="C18" s="247" t="inlineStr">
        <is>
          <t>UYARI</t>
        </is>
      </c>
      <c r="D18" s="48" t="inlineStr">
        <is>
          <t>Masaüstü otomasyon uyumluluğu</t>
        </is>
      </c>
      <c r="E18" s="48" t="inlineStr">
        <is>
          <t>Klasik Outlook gerekir; Yeni Outlook COM/VBA desteklemez</t>
        </is>
      </c>
      <c r="F18" s="48" t="inlineStr">
        <is>
          <t>Gerekirse Power Automate/Graph</t>
        </is>
      </c>
      <c r="G18" s="48" t="n"/>
      <c r="H18" s="48" t="n"/>
    </row>
    <row r="19" ht="45" customHeight="1" s="164">
      <c r="A19" s="48" t="n">
        <v>9</v>
      </c>
      <c r="B19" s="48" t="inlineStr">
        <is>
          <t>Kur yenileme</t>
        </is>
      </c>
      <c r="C19" s="247" t="inlineStr">
        <is>
          <t>UYARI</t>
        </is>
      </c>
      <c r="D19" s="48" t="inlineStr">
        <is>
          <t>Web sayfası ayrıştırma dayanıklılığı</t>
        </is>
      </c>
      <c r="E19" s="48" t="inlineStr">
        <is>
          <t>Sayfa yapısı değişirse makro etkilenebilir</t>
        </is>
      </c>
      <c r="F19" s="48" t="inlineStr">
        <is>
          <t>Resmî API anahtarıyla geçiş</t>
        </is>
      </c>
      <c r="G19" s="48" t="n"/>
      <c r="H19" s="48" t="n"/>
    </row>
    <row r="20">
      <c r="A20" s="48" t="n"/>
      <c r="B20" s="48" t="n"/>
      <c r="C20" s="48" t="n"/>
      <c r="D20" s="48" t="n"/>
      <c r="E20" s="48" t="n"/>
      <c r="F20" s="48" t="n"/>
      <c r="G20" s="48" t="n"/>
      <c r="H20" s="48" t="n"/>
    </row>
    <row r="21">
      <c r="A21" s="48" t="n"/>
      <c r="B21" s="48" t="n"/>
      <c r="C21" s="48" t="n"/>
      <c r="D21" s="48" t="n"/>
      <c r="E21" s="48" t="n"/>
      <c r="F21" s="48" t="n"/>
      <c r="G21" s="48" t="n"/>
      <c r="H21" s="48" t="n"/>
    </row>
    <row r="22">
      <c r="A22" s="47" t="inlineStr">
        <is>
          <t>Öncelik</t>
        </is>
      </c>
      <c r="B22" s="47" t="inlineStr">
        <is>
          <t>Geliştirme</t>
        </is>
      </c>
      <c r="C22" s="47" t="inlineStr">
        <is>
          <t>Ne kazandırır?</t>
        </is>
      </c>
      <c r="D22" s="47" t="inlineStr">
        <is>
          <t>Önerilen uygulama</t>
        </is>
      </c>
      <c r="E22" s="47" t="inlineStr">
        <is>
          <t>Efor</t>
        </is>
      </c>
      <c r="F22" s="47" t="inlineStr">
        <is>
          <t>Durum</t>
        </is>
      </c>
      <c r="G22" s="47" t="inlineStr">
        <is>
          <t>Not</t>
        </is>
      </c>
      <c r="H22" s="47" t="n"/>
    </row>
    <row r="23" ht="60" customHeight="1" s="164">
      <c r="A23" s="48" t="n">
        <v>1</v>
      </c>
      <c r="B23" s="48" t="inlineStr">
        <is>
          <t>Teklif arşivi ve durum takibi</t>
        </is>
      </c>
      <c r="C23" s="48" t="inlineStr">
        <is>
          <t>Gönderilen tekliflerin kaybolmasını önler</t>
        </is>
      </c>
      <c r="D23" s="48" t="inlineStr">
        <is>
          <t>Teklif no, müşteri, tarih, tutar, durum, takip tarihi ve PDF yolu tablosu</t>
        </is>
      </c>
      <c r="E23" s="48" t="inlineStr">
        <is>
          <t>Orta</t>
        </is>
      </c>
      <c r="F23" s="50" t="inlineStr">
        <is>
          <t>ÖNERİ</t>
        </is>
      </c>
      <c r="G23" s="48" t="inlineStr">
        <is>
          <t>Taslak/Gönderildi/Kabul/Red/Süresi Doldu</t>
        </is>
      </c>
      <c r="H23" s="48" t="n"/>
    </row>
    <row r="24" ht="45" customHeight="1" s="164">
      <c r="A24" s="48" t="n">
        <v>1</v>
      </c>
      <c r="B24" s="48" t="inlineStr">
        <is>
          <t>Otomatik benzersiz teklif numarası</t>
        </is>
      </c>
      <c r="C24" s="48" t="inlineStr">
        <is>
          <t>Çakışma ve Numara­sız PDF riskini kaldırır</t>
        </is>
      </c>
      <c r="D24" s="48" t="inlineStr">
        <is>
          <t>Yıl-ay-sıra formatı ve arşiv kontrolü</t>
        </is>
      </c>
      <c r="E24" s="48" t="inlineStr">
        <is>
          <t>Düşük</t>
        </is>
      </c>
      <c r="F24" s="50" t="inlineStr">
        <is>
          <t>ÖNERİ</t>
        </is>
      </c>
      <c r="G24" s="48" t="inlineStr">
        <is>
          <t>Örn. TKL-2026-0001</t>
        </is>
      </c>
      <c r="H24" s="48" t="n"/>
    </row>
    <row r="25" ht="45" customHeight="1" s="164">
      <c r="A25" s="48" t="n">
        <v>1</v>
      </c>
      <c r="B25" s="48" t="inlineStr">
        <is>
          <t>Formül hücrelerini koruma</t>
        </is>
      </c>
      <c r="C25" s="48" t="inlineStr">
        <is>
          <t>Yanlışlıkla formül silinmesini engeller</t>
        </is>
      </c>
      <c r="D25" s="48" t="inlineStr">
        <is>
          <t>Sadece sarı giriş hücrelerini açık bırakıp sayfayı koruma</t>
        </is>
      </c>
      <c r="E25" s="48" t="inlineStr">
        <is>
          <t>Düşük</t>
        </is>
      </c>
      <c r="F25" s="50" t="inlineStr">
        <is>
          <t>ÖNERİ</t>
        </is>
      </c>
      <c r="G25" s="48" t="inlineStr">
        <is>
          <t>Makrolar için UserInterfaceOnly</t>
        </is>
      </c>
      <c r="H25" s="48" t="n"/>
    </row>
    <row r="26" ht="45" customHeight="1" s="164">
      <c r="A26" s="48" t="n">
        <v>2</v>
      </c>
      <c r="B26" s="48" t="inlineStr">
        <is>
          <t>Müşteri veri tabanı</t>
        </is>
      </c>
      <c r="C26" s="48" t="inlineStr">
        <is>
          <t>Müşteri bilgilerini tek seçimle doldurur</t>
        </is>
      </c>
      <c r="D26" s="48" t="inlineStr">
        <is>
          <t>Müşteriler tablosu: firma, yetkili, e-posta, telefon, adres</t>
        </is>
      </c>
      <c r="E26" s="48" t="inlineStr">
        <is>
          <t>Orta</t>
        </is>
      </c>
      <c r="F26" s="50" t="inlineStr">
        <is>
          <t>ÖNERİ</t>
        </is>
      </c>
      <c r="G26" s="48" t="inlineStr">
        <is>
          <t>Outlook alıcısı buradan çekilebilir</t>
        </is>
      </c>
      <c r="H26" s="48" t="n"/>
    </row>
    <row r="27" ht="45" customHeight="1" s="164">
      <c r="A27" s="48" t="n">
        <v>2</v>
      </c>
      <c r="B27" s="48" t="inlineStr">
        <is>
          <t>Dinamik ürün/fiyat tablosu</t>
        </is>
      </c>
      <c r="C27" s="48" t="inlineStr">
        <is>
          <t>Yeni ürünler otomatik kapsama girer</t>
        </is>
      </c>
      <c r="D27" s="48" t="inlineStr">
        <is>
          <t>Urunler aralığını Excel Tablosuna dönüştürüp yapılandırılmış başvuru kullanma</t>
        </is>
      </c>
      <c r="E27" s="48" t="inlineStr">
        <is>
          <t>Orta</t>
        </is>
      </c>
      <c r="F27" s="50" t="inlineStr">
        <is>
          <t>ÖNERİ</t>
        </is>
      </c>
      <c r="G27" s="48" t="inlineStr">
        <is>
          <t>Mevcut sabit A2:C11 sınırı kalkar</t>
        </is>
      </c>
      <c r="H27" s="48" t="n"/>
    </row>
    <row r="28" ht="45" customHeight="1" s="164">
      <c r="A28" s="48" t="n">
        <v>2</v>
      </c>
      <c r="B28" s="48" t="inlineStr">
        <is>
          <t>İskonto ve ödeme koşulları</t>
        </is>
      </c>
      <c r="C28" s="48" t="inlineStr">
        <is>
          <t>Ticari teklif kapsamını tamamlar</t>
        </is>
      </c>
      <c r="D28" s="48" t="inlineStr">
        <is>
          <t>Satır/genel iskonto, vade, teslimat ve ödeme koşulları</t>
        </is>
      </c>
      <c r="E28" s="48" t="inlineStr">
        <is>
          <t>Orta</t>
        </is>
      </c>
      <c r="F28" s="50" t="inlineStr">
        <is>
          <t>ÖNERİ</t>
        </is>
      </c>
      <c r="G28" s="48" t="inlineStr">
        <is>
          <t>KDV matrahı açıkça izlenir</t>
        </is>
      </c>
      <c r="H28" s="48" t="n"/>
    </row>
    <row r="29" ht="30" customHeight="1" s="164">
      <c r="A29" s="48" t="n">
        <v>2</v>
      </c>
      <c r="B29" s="48" t="inlineStr">
        <is>
          <t>Süre sonu ve takip uyarısı</t>
        </is>
      </c>
      <c r="C29" s="48" t="inlineStr">
        <is>
          <t>Geciken teklifleri görünür yapar</t>
        </is>
      </c>
      <c r="D29" s="48" t="inlineStr">
        <is>
          <t>Geçerlilik ve takip tarihine koşullu uyarı</t>
        </is>
      </c>
      <c r="E29" s="48" t="inlineStr">
        <is>
          <t>Düşük</t>
        </is>
      </c>
      <c r="F29" s="50" t="inlineStr">
        <is>
          <t>ÖNERİ</t>
        </is>
      </c>
      <c r="G29" s="48" t="inlineStr">
        <is>
          <t>Satış takibini güçlendirir</t>
        </is>
      </c>
      <c r="H29" s="48" t="n"/>
    </row>
    <row r="30" ht="45" customHeight="1" s="164">
      <c r="A30" s="48" t="n">
        <v>3</v>
      </c>
      <c r="B30" s="48" t="inlineStr">
        <is>
          <t>PDF/e-posta işlem günlüğü</t>
        </is>
      </c>
      <c r="C30" s="48" t="inlineStr">
        <is>
          <t>Kimin ne zaman ne gönderdiğini kanıtlar</t>
        </is>
      </c>
      <c r="D30" s="48" t="inlineStr">
        <is>
          <t>Dosya adı, zaman, kullanıcı, müşteri ve durum kayıt tablosu</t>
        </is>
      </c>
      <c r="E30" s="48" t="inlineStr">
        <is>
          <t>Orta</t>
        </is>
      </c>
      <c r="F30" s="50" t="inlineStr">
        <is>
          <t>ÖNERİ</t>
        </is>
      </c>
      <c r="G30" s="48" t="inlineStr">
        <is>
          <t>Denetim izi sağlar</t>
        </is>
      </c>
      <c r="H30" s="48" t="n"/>
    </row>
    <row r="31" ht="45" customHeight="1" s="164">
      <c r="A31" s="48" t="n">
        <v>3</v>
      </c>
      <c r="B31" s="48" t="inlineStr">
        <is>
          <t>Yeni Outlook entegrasyonu</t>
        </is>
      </c>
      <c r="C31" s="48" t="inlineStr">
        <is>
          <t>Klasik Outlook bağımlılığını kaldırır</t>
        </is>
      </c>
      <c r="D31" s="48" t="inlineStr">
        <is>
          <t>Power Automate veya Microsoft Graph tabanlı akış</t>
        </is>
      </c>
      <c r="E31" s="48" t="inlineStr">
        <is>
          <t>Yüksek</t>
        </is>
      </c>
      <c r="F31" s="50" t="inlineStr">
        <is>
          <t>ÖNERİ</t>
        </is>
      </c>
      <c r="G31" s="48" t="inlineStr">
        <is>
          <t>Kurumsal izin/lisans gerekebilir</t>
        </is>
      </c>
      <c r="H31" s="48" t="n"/>
    </row>
    <row r="32" ht="45" customHeight="1" s="164">
      <c r="A32" s="48" t="n">
        <v>3</v>
      </c>
      <c r="B32" s="48" t="inlineStr">
        <is>
          <t>Tekliften faturaya dönüşüm</t>
        </is>
      </c>
      <c r="C32" s="48" t="inlineStr">
        <is>
          <t>Kabul edilen teklifleri tekrar yazmayı önler</t>
        </is>
      </c>
      <c r="D32" s="48" t="inlineStr">
        <is>
          <t>Kabul durumu sonrası fatura kopyası/aktarımı</t>
        </is>
      </c>
      <c r="E32" s="48" t="inlineStr">
        <is>
          <t>Yüksek</t>
        </is>
      </c>
      <c r="F32" s="50" t="inlineStr">
        <is>
          <t>ÖNERİ</t>
        </is>
      </c>
      <c r="G32" s="48" t="inlineStr">
        <is>
          <t>İş akışının sonraki aşaması</t>
        </is>
      </c>
      <c r="H32" s="48" t="n"/>
    </row>
    <row r="33">
      <c r="A33" s="46" t="n"/>
      <c r="B33" s="46" t="n"/>
      <c r="C33" s="46" t="n"/>
      <c r="D33" s="46" t="n"/>
      <c r="E33" s="46" t="n"/>
      <c r="F33" s="46" t="n"/>
      <c r="G33" s="46" t="n"/>
      <c r="H33" s="46" t="n"/>
    </row>
    <row r="34">
      <c r="A34" s="46" t="n"/>
      <c r="B34" s="46" t="n"/>
      <c r="C34" s="46" t="n"/>
      <c r="D34" s="46" t="n"/>
      <c r="E34" s="46" t="n"/>
      <c r="F34" s="46" t="n"/>
      <c r="G34" s="46" t="n"/>
      <c r="H34" s="46" t="n"/>
    </row>
  </sheetData>
  <mergeCells count="10">
    <mergeCell ref="A3:H3"/>
    <mergeCell ref="E6:F7"/>
    <mergeCell ref="C6:D7"/>
    <mergeCell ref="G6:H7"/>
    <mergeCell ref="C5:D5"/>
    <mergeCell ref="A5:B5"/>
    <mergeCell ref="A6:B7"/>
    <mergeCell ref="E5:F5"/>
    <mergeCell ref="G5:H5"/>
    <mergeCell ref="A1:H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ayfa14">
    <outlinePr summaryBelow="1" summaryRight="1"/>
    <pageSetUpPr/>
  </sheetPr>
  <dimension ref="A1:H25"/>
  <sheetViews>
    <sheetView workbookViewId="0">
      <selection activeCell="A350" sqref="A350:A441"/>
    </sheetView>
  </sheetViews>
  <sheetFormatPr baseColWidth="8" defaultRowHeight="15"/>
  <cols>
    <col width="14.28515625" customWidth="1" style="164" min="1" max="1"/>
    <col width="17.140625" customWidth="1" style="164" min="2" max="7"/>
    <col width="14.28515625" customWidth="1" style="164" min="8" max="8"/>
  </cols>
  <sheetData>
    <row r="1" ht="33.95" customHeight="1" s="164">
      <c r="A1" s="185" t="inlineStr">
        <is>
          <t>OUTLOOK İÇİN PDF E-POSTASI</t>
        </is>
      </c>
    </row>
    <row r="2" ht="33.95" customHeight="1" s="164"/>
    <row r="3" ht="21.95" customHeight="1" s="164">
      <c r="A3" s="186" t="inlineStr">
        <is>
          <t>Teklif Formunu PDF yapar, Masaüstü &gt; Teklifler &gt; PDF klasörüne kaydeder ve yeni Outlook e-postasına ekler.</t>
        </is>
      </c>
    </row>
    <row r="4" ht="21.95" customHeight="1" s="164">
      <c r="A4" s="41" t="n"/>
      <c r="B4" s="41" t="n"/>
      <c r="C4" s="41" t="n"/>
      <c r="D4" s="41" t="n"/>
      <c r="E4" s="41" t="n"/>
      <c r="F4" s="41" t="n"/>
      <c r="G4" s="41" t="n"/>
      <c r="H4" s="41" t="n"/>
    </row>
    <row r="5" ht="21.95" customHeight="1" s="164" thickBot="1">
      <c r="A5" s="41" t="n"/>
      <c r="B5" s="41" t="n"/>
      <c r="C5" s="41" t="n"/>
      <c r="D5" s="41" t="n"/>
      <c r="E5" s="41" t="n"/>
      <c r="F5" s="41" t="n"/>
      <c r="G5" s="41" t="n"/>
      <c r="H5" s="41" t="n"/>
    </row>
    <row r="6" ht="21.95" customHeight="1" s="164" thickTop="1">
      <c r="A6" s="41" t="n"/>
      <c r="B6" s="297" t="inlineStr">
        <is>
          <t>PDF OLUŞTUR VE OUTLOOK'A EKLE</t>
        </is>
      </c>
      <c r="C6" s="290" t="n"/>
      <c r="D6" s="290" t="n"/>
      <c r="E6" s="290" t="n"/>
      <c r="F6" s="290" t="n"/>
      <c r="G6" s="291" t="n"/>
      <c r="H6" s="41" t="n"/>
    </row>
    <row r="7" ht="21.95" customHeight="1" s="164">
      <c r="A7" s="41" t="n"/>
      <c r="B7" s="292" t="n"/>
      <c r="G7" s="293" t="n"/>
      <c r="H7" s="41" t="n"/>
    </row>
    <row r="8" ht="21.95" customHeight="1" s="164">
      <c r="A8" s="41" t="n"/>
      <c r="B8" s="292" t="n"/>
      <c r="G8" s="293" t="n"/>
      <c r="H8" s="41" t="n"/>
    </row>
    <row r="9" ht="21.95" customHeight="1" s="164">
      <c r="A9" s="41" t="n"/>
      <c r="B9" s="292" t="n"/>
      <c r="G9" s="293" t="n"/>
      <c r="H9" s="41" t="n"/>
    </row>
    <row r="10" ht="21.95" customHeight="1" s="164" thickBot="1">
      <c r="A10" s="41" t="n"/>
      <c r="B10" s="294" t="n"/>
      <c r="C10" s="295" t="n"/>
      <c r="D10" s="295" t="n"/>
      <c r="E10" s="295" t="n"/>
      <c r="F10" s="295" t="n"/>
      <c r="G10" s="296" t="n"/>
      <c r="H10" s="41" t="n"/>
    </row>
    <row r="11" ht="21.95" customHeight="1" s="164" thickTop="1">
      <c r="A11" s="41" t="n"/>
      <c r="B11" s="41" t="n"/>
      <c r="C11" s="41" t="n"/>
      <c r="D11" s="41" t="n"/>
      <c r="E11" s="41" t="n"/>
      <c r="F11" s="41" t="n"/>
      <c r="G11" s="41" t="n"/>
      <c r="H11" s="41" t="n"/>
    </row>
    <row r="12" ht="21.95" customHeight="1" s="164">
      <c r="A12" s="41" t="n"/>
      <c r="B12" s="206" t="inlineStr">
        <is>
          <t>E-posta gönderilmez; alıcı, konu ve mesaj boş şekilde kullanıcı kontrolüne açılır.</t>
        </is>
      </c>
      <c r="H12" s="41" t="n"/>
    </row>
    <row r="13" ht="21.95" customHeight="1" s="164">
      <c r="A13" s="41" t="n"/>
      <c r="B13" s="41" t="n"/>
      <c r="C13" s="41" t="n"/>
      <c r="D13" s="41" t="n"/>
      <c r="E13" s="41" t="n"/>
      <c r="F13" s="41" t="n"/>
      <c r="G13" s="41" t="n"/>
      <c r="H13" s="41" t="n"/>
    </row>
    <row r="14" ht="21.95" customHeight="1" s="164">
      <c r="A14" s="41" t="n"/>
      <c r="B14" s="207" t="inlineStr">
        <is>
          <t>Uyumluluk: Windows için Klasik Outlook gereklidir. Yeni Outlook COM/VBA otomasyonunu desteklemez.</t>
        </is>
      </c>
      <c r="H14" s="41" t="n"/>
    </row>
    <row r="15" ht="21.95" customHeight="1" s="164">
      <c r="A15" s="41" t="n"/>
      <c r="B15" s="41" t="n"/>
      <c r="C15" s="41" t="n"/>
      <c r="D15" s="41" t="n"/>
      <c r="E15" s="41" t="n"/>
      <c r="F15" s="41" t="n"/>
      <c r="G15" s="41" t="n"/>
      <c r="H15" s="41" t="n"/>
    </row>
    <row r="16" ht="21.95" customHeight="1" s="164">
      <c r="A16" s="41" t="n"/>
      <c r="B16" s="41" t="n"/>
      <c r="C16" s="41" t="n"/>
      <c r="D16" s="41" t="n"/>
      <c r="E16" s="41" t="n"/>
      <c r="F16" s="41" t="n"/>
      <c r="G16" s="41" t="n"/>
      <c r="H16" s="41" t="n"/>
    </row>
    <row r="17">
      <c r="A17" s="41" t="n"/>
      <c r="B17" s="182" t="inlineStr">
        <is>
          <t>KONTROL</t>
        </is>
      </c>
      <c r="C17" s="182" t="inlineStr">
        <is>
          <t>DURUM</t>
        </is>
      </c>
      <c r="D17" s="182" t="inlineStr">
        <is>
          <t>AÇIKLAMA</t>
        </is>
      </c>
      <c r="E17" s="182" t="n"/>
      <c r="F17" s="182" t="n"/>
      <c r="G17" s="182" t="n"/>
      <c r="H17" s="41" t="n"/>
    </row>
    <row r="18">
      <c r="A18" s="41" t="n"/>
      <c r="B18" s="21" t="inlineStr">
        <is>
          <t>PDF üretimi</t>
        </is>
      </c>
      <c r="C18" s="253" t="inlineStr">
        <is>
          <t>HAZIR</t>
        </is>
      </c>
      <c r="D18" s="181" t="inlineStr">
        <is>
          <t>Teklif Formu A4 dikey ve tek sayfa olarak kaydedilir.</t>
        </is>
      </c>
      <c r="H18" s="41" t="n"/>
    </row>
    <row r="19">
      <c r="A19" s="41" t="n"/>
      <c r="B19" s="21" t="inlineStr">
        <is>
          <t>Outlook eki</t>
        </is>
      </c>
      <c r="C19" s="253" t="inlineStr">
        <is>
          <t>HAZIR</t>
        </is>
      </c>
      <c r="D19" s="181" t="inlineStr">
        <is>
          <t>PDF oluşturulduktan sonra boş e-posta taslağına eklenir.</t>
        </is>
      </c>
      <c r="H19" s="41" t="n"/>
    </row>
    <row r="20">
      <c r="A20" s="41" t="n"/>
      <c r="B20" s="21" t="inlineStr">
        <is>
          <t>Otomatik gönderim</t>
        </is>
      </c>
      <c r="C20" s="253" t="inlineStr">
        <is>
          <t>KAPALI</t>
        </is>
      </c>
      <c r="D20" s="181" t="inlineStr">
        <is>
          <t>E-posta yalnızca açılır; gönderme kullanıcı kontrolündedir.</t>
        </is>
      </c>
      <c r="H20" s="41" t="n"/>
    </row>
    <row r="21">
      <c r="A21" s="41" t="n"/>
      <c r="B21" s="242" t="inlineStr">
        <is>
          <t>Uyumluluk</t>
        </is>
      </c>
      <c r="C21" s="250" t="inlineStr">
        <is>
          <t>KLASİK OUTLOOK</t>
        </is>
      </c>
      <c r="D21" s="181" t="inlineStr">
        <is>
          <t>Yeni Outlook, VBA/COM otomasyonunu desteklemez.</t>
        </is>
      </c>
      <c r="H21" s="41" t="n"/>
    </row>
    <row r="22" ht="30" customHeight="1" s="164">
      <c r="A22" s="41" t="n"/>
      <c r="B22" s="242" t="inlineStr">
        <is>
          <t>Canlı test</t>
        </is>
      </c>
      <c r="C22" s="250" t="inlineStr">
        <is>
          <t>KULLANICI BİLGİSAYARINDA</t>
        </is>
      </c>
      <c r="D22" s="181" t="inlineStr">
        <is>
          <t>OutlookPDFTestiV1 çalıştırıldığında gerçek Outlook taslağı açılır.</t>
        </is>
      </c>
      <c r="H22" s="41" t="n"/>
    </row>
    <row r="23" ht="30" customHeight="1" s="164">
      <c r="A23" s="41" t="n"/>
      <c r="B23" s="207" t="n"/>
      <c r="C23" s="207" t="n"/>
      <c r="D23" s="207" t="n"/>
      <c r="E23" s="207" t="n"/>
      <c r="F23" s="207" t="n"/>
      <c r="G23" s="207" t="n"/>
      <c r="H23" s="41" t="n"/>
    </row>
    <row r="24" ht="21.95" customHeight="1" s="164">
      <c r="A24" s="41" t="n"/>
      <c r="B24" s="41" t="n"/>
      <c r="C24" s="41" t="n"/>
      <c r="D24" s="41" t="n"/>
      <c r="E24" s="41" t="n"/>
      <c r="F24" s="41" t="n"/>
      <c r="G24" s="41" t="n"/>
      <c r="H24" s="41" t="n"/>
    </row>
    <row r="25" ht="21.95" customHeight="1" s="164">
      <c r="A25" s="41" t="n"/>
      <c r="B25" s="41" t="n"/>
      <c r="C25" s="41" t="n"/>
      <c r="D25" s="41" t="n"/>
      <c r="E25" s="41" t="n"/>
      <c r="F25" s="41" t="n"/>
      <c r="G25" s="41" t="n"/>
      <c r="H25" s="41" t="n"/>
    </row>
  </sheetData>
  <mergeCells count="10">
    <mergeCell ref="D22:G22"/>
    <mergeCell ref="D18:G18"/>
    <mergeCell ref="B6:G10"/>
    <mergeCell ref="A3:H3"/>
    <mergeCell ref="B14:G14"/>
    <mergeCell ref="D20:G20"/>
    <mergeCell ref="D21:G21"/>
    <mergeCell ref="D19:G19"/>
    <mergeCell ref="B12:G12"/>
    <mergeCell ref="A1:H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ayfa13">
    <outlinePr summaryBelow="1" summaryRight="1"/>
    <pageSetUpPr/>
  </sheetPr>
  <dimension ref="A1:H26"/>
  <sheetViews>
    <sheetView topLeftCell="A4" workbookViewId="0">
      <selection activeCell="H11" sqref="H11"/>
    </sheetView>
  </sheetViews>
  <sheetFormatPr baseColWidth="8" defaultRowHeight="15"/>
  <cols>
    <col width="14.28515625" customWidth="1" style="164" min="1" max="1"/>
    <col width="17.140625" customWidth="1" style="164" min="2" max="7"/>
    <col width="14.28515625" customWidth="1" style="164" min="8" max="8"/>
  </cols>
  <sheetData>
    <row r="1" ht="33.95" customHeight="1" s="164">
      <c r="A1" s="185" t="inlineStr">
        <is>
          <t>TEKLİFİ PDF OLARAK KAYDET</t>
        </is>
      </c>
    </row>
    <row r="2" ht="33.95" customHeight="1" s="164"/>
    <row r="3" ht="21.95" customHeight="1" s="164">
      <c r="A3" s="186" t="inlineStr">
        <is>
          <t>Teklif formunu A4 dikey tek sayfa PDF olarak Masaüstü &gt; Teklifler &gt; PDF klasörüne kaydeder.</t>
        </is>
      </c>
    </row>
    <row r="4" ht="21.95" customHeight="1" s="164">
      <c r="A4" s="41" t="n"/>
      <c r="B4" s="41" t="n"/>
      <c r="C4" s="41" t="n"/>
      <c r="D4" s="41" t="n"/>
      <c r="E4" s="41" t="n"/>
      <c r="F4" s="41" t="n"/>
      <c r="G4" s="41" t="n"/>
      <c r="H4" s="41" t="n"/>
    </row>
    <row r="5" ht="21.95" customHeight="1" s="164" thickBot="1">
      <c r="A5" s="41" t="n"/>
      <c r="B5" s="41" t="n"/>
      <c r="C5" s="41" t="n"/>
      <c r="D5" s="41" t="n"/>
      <c r="E5" s="41" t="n"/>
      <c r="F5" s="41" t="n"/>
      <c r="G5" s="41" t="n"/>
      <c r="H5" s="41" t="n"/>
    </row>
    <row r="6" ht="21.95" customHeight="1" s="164" thickTop="1">
      <c r="A6" s="41" t="n"/>
      <c r="B6" s="289" t="inlineStr">
        <is>
          <t>PDF OLARAK KAYDET</t>
        </is>
      </c>
      <c r="C6" s="290" t="n"/>
      <c r="D6" s="290" t="n"/>
      <c r="E6" s="290" t="n"/>
      <c r="F6" s="290" t="n"/>
      <c r="G6" s="291" t="n"/>
      <c r="H6" s="41" t="n"/>
    </row>
    <row r="7" ht="21.95" customHeight="1" s="164">
      <c r="A7" s="41" t="n"/>
      <c r="B7" s="292" t="n"/>
      <c r="G7" s="293" t="n"/>
      <c r="H7" s="41" t="n"/>
    </row>
    <row r="8" ht="21.95" customHeight="1" s="164">
      <c r="A8" s="41" t="n"/>
      <c r="B8" s="292" t="n"/>
      <c r="G8" s="293" t="n"/>
      <c r="H8" s="41" t="n"/>
    </row>
    <row r="9" ht="21.95" customHeight="1" s="164">
      <c r="A9" s="41" t="n"/>
      <c r="B9" s="292" t="n"/>
      <c r="G9" s="293" t="n"/>
      <c r="H9" s="41" t="n"/>
    </row>
    <row r="10" ht="21.95" customHeight="1" s="164" thickBot="1">
      <c r="A10" s="41" t="n"/>
      <c r="B10" s="294" t="n"/>
      <c r="C10" s="295" t="n"/>
      <c r="D10" s="295" t="n"/>
      <c r="E10" s="295" t="n"/>
      <c r="F10" s="295" t="n"/>
      <c r="G10" s="296" t="n"/>
      <c r="H10" s="41" t="n"/>
    </row>
    <row r="11" ht="21.95" customHeight="1" s="164" thickTop="1">
      <c r="A11" s="41" t="n"/>
      <c r="B11" s="41" t="n"/>
      <c r="C11" s="41" t="n"/>
      <c r="D11" s="41" t="n"/>
      <c r="E11" s="41" t="n"/>
      <c r="F11" s="41" t="n"/>
      <c r="G11" s="41" t="n"/>
      <c r="H11" s="41" t="n"/>
    </row>
    <row r="12" ht="33.95" customHeight="1" s="164">
      <c r="A12" s="41" t="n"/>
      <c r="B12" s="196" t="inlineStr">
        <is>
          <t>DERLEME HATASI ÇÖZÜMÜ: Hatanın vurguladığı yeni PDF modülünde Ctrl+A → güncel kodu yapıştırın.</t>
        </is>
      </c>
      <c r="H12" s="41" t="n"/>
    </row>
    <row r="13" ht="33.95" customHeight="1" s="164">
      <c r="A13" s="41" t="n"/>
      <c r="B13" s="184" t="inlineStr">
        <is>
          <t>Sonra Alt+F8 → PDFDugmesiniBaglaV2 → Çalıştır. Düğme benzersiz v2 makrosuna bağlanır.</t>
        </is>
      </c>
      <c r="H13" s="41" t="n"/>
    </row>
    <row r="14" ht="33.95" customHeight="1" s="164">
      <c r="A14" s="41" t="n"/>
      <c r="B14" s="196" t="inlineStr">
        <is>
          <t>Test: Alt+F8 → PDFKaydetTestiV2 → Çalıştır. PDF kaydedilir ve hedef klasörde seçili açılır.</t>
        </is>
      </c>
      <c r="H14" s="41" t="n"/>
    </row>
    <row r="15" ht="21.95" customHeight="1" s="164">
      <c r="A15" s="41" t="n"/>
      <c r="B15" s="41" t="n"/>
      <c r="C15" s="41" t="n"/>
      <c r="D15" s="41" t="n"/>
      <c r="E15" s="41" t="n"/>
      <c r="F15" s="41" t="n"/>
      <c r="G15" s="41" t="n"/>
      <c r="H15" s="41" t="n"/>
    </row>
    <row r="16" ht="21.95" customHeight="1" s="164">
      <c r="A16" s="41" t="n"/>
      <c r="B16" s="41" t="n"/>
      <c r="C16" s="41" t="n"/>
      <c r="D16" s="41" t="n"/>
      <c r="E16" s="41" t="n"/>
      <c r="F16" s="41" t="n"/>
      <c r="G16" s="41" t="n"/>
      <c r="H16" s="41" t="n"/>
    </row>
    <row r="17" ht="27.95" customHeight="1" s="164">
      <c r="A17" s="41" t="n"/>
      <c r="B17" s="183" t="n"/>
      <c r="H17" s="41" t="n"/>
    </row>
    <row r="18" ht="27.95" customHeight="1" s="164">
      <c r="A18" s="41" t="n"/>
      <c r="H18" s="41" t="n"/>
    </row>
    <row r="19" ht="27.95" customHeight="1" s="164">
      <c r="A19" s="41" t="n"/>
      <c r="H19" s="41" t="n"/>
    </row>
    <row r="20" ht="27.95" customHeight="1" s="164">
      <c r="A20" s="41" t="n"/>
      <c r="H20" s="41" t="n"/>
    </row>
    <row r="21" ht="21.95" customHeight="1" s="164">
      <c r="A21" s="41" t="n"/>
      <c r="B21" s="41" t="n"/>
      <c r="C21" s="41" t="n"/>
      <c r="D21" s="41" t="n"/>
      <c r="E21" s="41" t="n"/>
      <c r="F21" s="41" t="n"/>
      <c r="G21" s="41" t="n"/>
      <c r="H21" s="41" t="n"/>
    </row>
    <row r="22" ht="27.95" customHeight="1" s="164">
      <c r="A22" s="41" t="n"/>
      <c r="B22" s="183" t="n"/>
      <c r="H22" s="41" t="n"/>
    </row>
    <row r="23" ht="27.95" customHeight="1" s="164">
      <c r="A23" s="41" t="n"/>
      <c r="H23" s="41" t="n"/>
    </row>
    <row r="24" ht="27.95" customHeight="1" s="164">
      <c r="A24" s="41" t="n"/>
      <c r="H24" s="41" t="n"/>
    </row>
    <row r="25" ht="21.95" customHeight="1" s="164">
      <c r="A25" s="41" t="n"/>
      <c r="B25" s="41" t="n"/>
      <c r="C25" s="41" t="n"/>
      <c r="D25" s="41" t="n"/>
      <c r="E25" s="41" t="n"/>
      <c r="F25" s="41" t="n"/>
      <c r="G25" s="41" t="n"/>
      <c r="H25" s="41" t="n"/>
    </row>
    <row r="26" ht="21.95" customHeight="1" s="164">
      <c r="A26" s="41" t="n"/>
      <c r="B26" s="41" t="n"/>
      <c r="C26" s="41" t="n"/>
      <c r="D26" s="41" t="n"/>
      <c r="E26" s="41" t="n"/>
      <c r="F26" s="41" t="n"/>
      <c r="G26" s="41" t="n"/>
      <c r="H26" s="41" t="n"/>
    </row>
  </sheetData>
  <mergeCells count="8">
    <mergeCell ref="A3:H3"/>
    <mergeCell ref="B6:G10"/>
    <mergeCell ref="B14:G14"/>
    <mergeCell ref="B22:G24"/>
    <mergeCell ref="B17:G20"/>
    <mergeCell ref="B12:G12"/>
    <mergeCell ref="B13:G13"/>
    <mergeCell ref="A1:H2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ayfa12">
    <outlinePr summaryBelow="1" summaryRight="1"/>
    <pageSetUpPr/>
  </sheetPr>
  <dimension ref="A1:F444"/>
  <sheetViews>
    <sheetView showGridLines="0" topLeftCell="A340" workbookViewId="0">
      <selection activeCell="A350" sqref="A350:XFD441"/>
    </sheetView>
  </sheetViews>
  <sheetFormatPr baseColWidth="8" defaultRowHeight="15"/>
  <cols>
    <col width="41" customWidth="1" style="164" min="1" max="1"/>
    <col width="24.7109375" customWidth="1" style="164" min="2" max="2"/>
    <col width="18.140625" customWidth="1" style="164" min="3" max="6"/>
  </cols>
  <sheetData>
    <row r="1" ht="27" customHeight="1" s="164">
      <c r="A1" s="175" t="inlineStr">
        <is>
          <t>İŞ BANKASI KUR YENİLEME — VBA KURULUMU</t>
        </is>
      </c>
    </row>
    <row r="2" ht="27" customHeight="1" s="164"/>
    <row r="3">
      <c r="A3" s="169" t="inlineStr">
        <is>
          <t>Dosyayı .xlsm olarak kaydedin; aşağıdaki kodları VBA düzenleyicisine kopyalayın.</t>
        </is>
      </c>
    </row>
    <row r="4">
      <c r="A4" s="1" t="n"/>
      <c r="B4" s="1" t="n"/>
      <c r="C4" s="1" t="n"/>
      <c r="D4" s="1" t="n"/>
      <c r="E4" s="1" t="n"/>
      <c r="F4" s="1" t="n"/>
    </row>
    <row r="5">
      <c r="A5" s="177" t="inlineStr">
        <is>
          <t>1) Alt+F11 → Ekle → Modül → Aşağıdaki Standart Modül kodunu yapıştırın</t>
        </is>
      </c>
    </row>
    <row r="6">
      <c r="A6" s="1" t="n"/>
      <c r="B6" s="1" t="n"/>
      <c r="C6" s="1" t="n"/>
      <c r="D6" s="1" t="n"/>
      <c r="E6" s="1" t="n"/>
      <c r="F6" s="1" t="n"/>
    </row>
    <row r="7">
      <c r="A7" s="12" t="inlineStr">
        <is>
          <t>Option Explicit</t>
        </is>
      </c>
      <c r="B7" s="1" t="n"/>
      <c r="C7" s="1" t="n"/>
      <c r="D7" s="1" t="n"/>
      <c r="E7" s="1" t="n"/>
      <c r="F7" s="1" t="n"/>
    </row>
    <row r="8">
      <c r="A8" s="12" t="inlineStr">
        <is>
          <t>Private Const KUR_URL As String = "https://www.isbank.com.tr/doviz-kurlari"</t>
        </is>
      </c>
      <c r="B8" s="1" t="n"/>
      <c r="C8" s="1" t="n"/>
      <c r="D8" s="1" t="n"/>
      <c r="E8" s="1" t="n"/>
      <c r="F8" s="1" t="n"/>
    </row>
    <row r="9">
      <c r="A9" s="12" t="n"/>
      <c r="B9" s="1" t="n"/>
      <c r="C9" s="1" t="n"/>
      <c r="D9" s="1" t="n"/>
      <c r="E9" s="1" t="n"/>
      <c r="F9" s="1" t="n"/>
    </row>
    <row r="10">
      <c r="A10" s="12" t="inlineStr">
        <is>
          <t>Public Sub IsBankasiKurlariGuncelle()</t>
        </is>
      </c>
      <c r="B10" s="1" t="n"/>
      <c r="C10" s="1" t="n"/>
      <c r="D10" s="1" t="n"/>
      <c r="E10" s="1" t="n"/>
      <c r="F10" s="1" t="n"/>
    </row>
    <row r="11">
      <c r="A11" s="12" t="inlineStr">
        <is>
          <t xml:space="preserve">    On Error GoTo Hata</t>
        </is>
      </c>
      <c r="B11" s="1" t="n"/>
      <c r="C11" s="1" t="n"/>
      <c r="D11" s="1" t="n"/>
      <c r="E11" s="1" t="n"/>
      <c r="F11" s="1" t="n"/>
    </row>
    <row r="12">
      <c r="A12" s="12" t="inlineStr">
        <is>
          <t xml:space="preserve">    Application.ScreenUpdating = False</t>
        </is>
      </c>
      <c r="B12" s="1" t="n"/>
      <c r="C12" s="1" t="n"/>
      <c r="D12" s="1" t="n"/>
      <c r="E12" s="1" t="n"/>
      <c r="F12" s="1" t="n"/>
    </row>
    <row r="13">
      <c r="A13" s="12" t="inlineStr">
        <is>
          <t xml:space="preserve">    Application.StatusBar = "İş Bankası döviz satış kurları alınıyor..."</t>
        </is>
      </c>
      <c r="B13" s="1" t="n"/>
      <c r="C13" s="1" t="n"/>
      <c r="D13" s="1" t="n"/>
      <c r="E13" s="1" t="n"/>
      <c r="F13" s="1" t="n"/>
    </row>
    <row r="14">
      <c r="A14" s="12" t="inlineStr">
        <is>
          <t xml:space="preserve">    Dim req As Object, doc As Object, ws As Worksheet</t>
        </is>
      </c>
      <c r="B14" s="1" t="n"/>
      <c r="C14" s="1" t="n"/>
      <c r="D14" s="1" t="n"/>
      <c r="E14" s="1" t="n"/>
      <c r="F14" s="1" t="n"/>
    </row>
    <row r="15">
      <c r="A15" s="12" t="inlineStr">
        <is>
          <t xml:space="preserve">    Dim kodlar As Variant, i As Long, satir As Variant, kur As Double</t>
        </is>
      </c>
      <c r="B15" s="1" t="n"/>
      <c r="C15" s="1" t="n"/>
      <c r="D15" s="1" t="n"/>
      <c r="E15" s="1" t="n"/>
      <c r="F15" s="1" t="n"/>
    </row>
    <row r="16">
      <c r="A16" s="12" t="inlineStr">
        <is>
          <t xml:space="preserve">    Set ws = ThisWorkbook.Worksheets("Kur Bilgisi")</t>
        </is>
      </c>
      <c r="B16" s="1" t="n"/>
      <c r="C16" s="1" t="n"/>
      <c r="D16" s="1" t="n"/>
      <c r="E16" s="1" t="n"/>
      <c r="F16" s="1" t="n"/>
    </row>
    <row r="17">
      <c r="A17" s="12" t="inlineStr">
        <is>
          <t xml:space="preserve">    Set req = CreateObject("MSXML2.ServerXMLHTTP.6.0")</t>
        </is>
      </c>
      <c r="B17" s="1" t="n"/>
      <c r="C17" s="1" t="n"/>
      <c r="D17" s="1" t="n"/>
      <c r="E17" s="1" t="n"/>
      <c r="F17" s="1" t="n"/>
    </row>
    <row r="18">
      <c r="A18" s="12" t="inlineStr">
        <is>
          <t xml:space="preserve">    req.setTimeouts 5000, 5000, 10000, 10000: req.Open "GET", KUR_URL, False</t>
        </is>
      </c>
      <c r="B18" s="1" t="n"/>
      <c r="C18" s="1" t="n"/>
      <c r="D18" s="1" t="n"/>
      <c r="E18" s="1" t="n"/>
      <c r="F18" s="1" t="n"/>
    </row>
    <row r="19">
      <c r="A19" s="12" t="inlineStr">
        <is>
          <t xml:space="preserve">    req.setRequestHeader "User-Agent", "Mozilla/5.0"</t>
        </is>
      </c>
      <c r="B19" s="1" t="n"/>
      <c r="C19" s="1" t="n"/>
      <c r="D19" s="1" t="n"/>
      <c r="E19" s="1" t="n"/>
      <c r="F19" s="1" t="n"/>
    </row>
    <row r="20">
      <c r="A20" s="12" t="inlineStr">
        <is>
          <t xml:space="preserve">    req.send</t>
        </is>
      </c>
      <c r="B20" s="1" t="n"/>
      <c r="C20" s="1" t="n"/>
      <c r="D20" s="1" t="n"/>
      <c r="E20" s="1" t="n"/>
      <c r="F20" s="1" t="n"/>
    </row>
    <row r="21">
      <c r="A21" s="12" t="inlineStr">
        <is>
          <t xml:space="preserve">    If req.Status &lt;&gt; 200 Then Err.Raise vbObjectError + 100, , "HTTP hatası: " &amp; req.Status</t>
        </is>
      </c>
      <c r="B21" s="1" t="n"/>
      <c r="C21" s="1" t="n"/>
      <c r="D21" s="1" t="n"/>
      <c r="E21" s="1" t="n"/>
      <c r="F21" s="1" t="n"/>
    </row>
    <row r="22">
      <c r="A22" s="12" t="inlineStr">
        <is>
          <t xml:space="preserve">    Set doc = CreateObject("htmlfile")</t>
        </is>
      </c>
      <c r="B22" s="1" t="n"/>
      <c r="C22" s="1" t="n"/>
      <c r="D22" s="1" t="n"/>
      <c r="E22" s="1" t="n"/>
      <c r="F22" s="1" t="n"/>
    </row>
    <row r="23">
      <c r="A23" s="12" t="inlineStr">
        <is>
          <t xml:space="preserve">    doc.Open: doc.write req.responseText: doc.Close</t>
        </is>
      </c>
      <c r="B23" s="1" t="n"/>
      <c r="C23" s="1" t="n"/>
      <c r="D23" s="1" t="n"/>
      <c r="E23" s="1" t="n"/>
      <c r="F23" s="1" t="n"/>
    </row>
    <row r="24">
      <c r="A24" s="12" t="inlineStr">
        <is>
          <t xml:space="preserve">    kodlar = Array("USD", "EUR", "GBP")</t>
        </is>
      </c>
      <c r="B24" s="1" t="n"/>
      <c r="C24" s="1" t="n"/>
      <c r="D24" s="1" t="n"/>
      <c r="E24" s="1" t="n"/>
      <c r="F24" s="1" t="n"/>
    </row>
    <row r="25">
      <c r="A25" s="12" t="inlineStr">
        <is>
          <t xml:space="preserve">    For i = LBound(kodlar) To UBound(kodlar)</t>
        </is>
      </c>
      <c r="B25" s="1" t="n"/>
      <c r="C25" s="1" t="n"/>
      <c r="D25" s="1" t="n"/>
      <c r="E25" s="1" t="n"/>
      <c r="F25" s="1" t="n"/>
    </row>
    <row r="26">
      <c r="A26" s="12" t="inlineStr">
        <is>
          <t xml:space="preserve">        kur = SatisKuruBul(doc, CStr(kodlar(i)))</t>
        </is>
      </c>
      <c r="B26" s="1" t="n"/>
      <c r="C26" s="1" t="n"/>
      <c r="D26" s="1" t="n"/>
      <c r="E26" s="1" t="n"/>
      <c r="F26" s="1" t="n"/>
    </row>
    <row r="27">
      <c r="A27" s="12" t="inlineStr">
        <is>
          <t xml:space="preserve">        If kur &lt;= 0 Then Err.Raise vbObjectError + 101, , kodlar(i) &amp; " satış kuru bulunamadı."</t>
        </is>
      </c>
      <c r="B27" s="1" t="n"/>
      <c r="C27" s="1" t="n"/>
      <c r="D27" s="1" t="n"/>
      <c r="E27" s="1" t="n"/>
      <c r="F27" s="1" t="n"/>
    </row>
    <row r="28">
      <c r="A28" s="12" t="inlineStr">
        <is>
          <t xml:space="preserve">        satir = Application.Match(kodlar(i), ws.Range("A:A"), 0)</t>
        </is>
      </c>
      <c r="B28" s="1" t="n"/>
      <c r="C28" s="1" t="n"/>
      <c r="D28" s="1" t="n"/>
      <c r="E28" s="1" t="n"/>
      <c r="F28" s="1" t="n"/>
    </row>
    <row r="29">
      <c r="A29" s="12" t="inlineStr">
        <is>
          <t xml:space="preserve">        If IsError(satir) Then Err.Raise vbObjectError + 102, , kodlar(i) &amp; " satırı Kur Bilgisi sayfasında yok."</t>
        </is>
      </c>
      <c r="B29" s="1" t="n"/>
      <c r="C29" s="1" t="n"/>
      <c r="D29" s="1" t="n"/>
      <c r="E29" s="1" t="n"/>
      <c r="F29" s="1" t="n"/>
    </row>
    <row r="30">
      <c r="A30" s="12" t="inlineStr">
        <is>
          <t xml:space="preserve">        ws.Cells(CLng(satir), 3).Value = kur</t>
        </is>
      </c>
      <c r="B30" s="1" t="n"/>
      <c r="C30" s="1" t="n"/>
      <c r="D30" s="1" t="n"/>
      <c r="E30" s="1" t="n"/>
      <c r="F30" s="1" t="n"/>
    </row>
    <row r="31">
      <c r="A31" s="12" t="inlineStr">
        <is>
          <t xml:space="preserve">        ws.Cells(CLng(satir), 4).Value = Now: ws.Cells(CLng(satir), 6).Value = "Otomatik yenilendi"</t>
        </is>
      </c>
      <c r="B31" s="1" t="n"/>
      <c r="C31" s="1" t="n"/>
      <c r="D31" s="1" t="n"/>
      <c r="E31" s="1" t="n"/>
      <c r="F31" s="1" t="n"/>
    </row>
    <row r="32">
      <c r="A32" s="12" t="inlineStr">
        <is>
          <t xml:space="preserve">    Next i</t>
        </is>
      </c>
      <c r="B32" s="1" t="n"/>
      <c r="C32" s="1" t="n"/>
      <c r="D32" s="1" t="n"/>
      <c r="E32" s="1" t="n"/>
      <c r="F32" s="1" t="n"/>
    </row>
    <row r="33">
      <c r="A33" s="12" t="inlineStr">
        <is>
          <t xml:space="preserve">    ws.Range("D6:D9").NumberFormat = "dd.mm.yyyy hh:mm"</t>
        </is>
      </c>
      <c r="B33" s="1" t="n"/>
      <c r="C33" s="1" t="n"/>
      <c r="D33" s="1" t="n"/>
      <c r="E33" s="1" t="n"/>
      <c r="F33" s="1" t="n"/>
    </row>
    <row r="34">
      <c r="A34" s="12" t="inlineStr">
        <is>
          <t xml:space="preserve">    Application.CalculateFull</t>
        </is>
      </c>
      <c r="B34" s="1" t="n"/>
      <c r="C34" s="1" t="n"/>
      <c r="D34" s="1" t="n"/>
      <c r="E34" s="1" t="n"/>
      <c r="F34" s="1" t="n"/>
    </row>
    <row r="35">
      <c r="A35" s="12" t="inlineStr">
        <is>
          <t xml:space="preserve">    Application.StatusBar = False</t>
        </is>
      </c>
      <c r="B35" s="1" t="n"/>
      <c r="C35" s="1" t="n"/>
      <c r="D35" s="1" t="n"/>
      <c r="E35" s="1" t="n"/>
      <c r="F35" s="1" t="n"/>
    </row>
    <row r="36">
      <c r="A36" s="12" t="inlineStr">
        <is>
          <t xml:space="preserve">    Application.ScreenUpdating = True</t>
        </is>
      </c>
      <c r="B36" s="1" t="n"/>
      <c r="C36" s="1" t="n"/>
      <c r="D36" s="1" t="n"/>
      <c r="E36" s="1" t="n"/>
      <c r="F36" s="1" t="n"/>
    </row>
    <row r="37">
      <c r="A37" s="12" t="inlineStr">
        <is>
          <t xml:space="preserve">    MsgBox "USD, EUR ve GBP satış kurları güncellendi.", vbInformation</t>
        </is>
      </c>
      <c r="B37" s="1" t="n"/>
      <c r="C37" s="1" t="n"/>
      <c r="D37" s="1" t="n"/>
      <c r="E37" s="1" t="n"/>
      <c r="F37" s="1" t="n"/>
    </row>
    <row r="38">
      <c r="A38" s="12" t="inlineStr">
        <is>
          <t xml:space="preserve">    Exit Sub</t>
        </is>
      </c>
      <c r="B38" s="1" t="n"/>
      <c r="C38" s="1" t="n"/>
      <c r="D38" s="1" t="n"/>
      <c r="E38" s="1" t="n"/>
      <c r="F38" s="1" t="n"/>
    </row>
    <row r="39">
      <c r="A39" s="12" t="inlineStr">
        <is>
          <t>Hata:</t>
        </is>
      </c>
      <c r="B39" s="1" t="n"/>
      <c r="C39" s="1" t="n"/>
      <c r="D39" s="1" t="n"/>
      <c r="E39" s="1" t="n"/>
      <c r="F39" s="1" t="n"/>
    </row>
    <row r="40">
      <c r="A40" s="12" t="inlineStr">
        <is>
          <t xml:space="preserve">    Application.StatusBar = False</t>
        </is>
      </c>
      <c r="B40" s="1" t="n"/>
      <c r="C40" s="1" t="n"/>
      <c r="D40" s="1" t="n"/>
      <c r="E40" s="1" t="n"/>
      <c r="F40" s="1" t="n"/>
    </row>
    <row r="41">
      <c r="A41" s="12" t="inlineStr">
        <is>
          <t xml:space="preserve">    Application.ScreenUpdating = True</t>
        </is>
      </c>
      <c r="B41" s="1" t="n"/>
      <c r="C41" s="1" t="n"/>
      <c r="D41" s="1" t="n"/>
      <c r="E41" s="1" t="n"/>
      <c r="F41" s="1" t="n"/>
    </row>
    <row r="42">
      <c r="A42" s="12" t="inlineStr">
        <is>
          <t xml:space="preserve">    MsgBox "Kur güncellenemedi: " &amp; Err.Description, vbExclamation</t>
        </is>
      </c>
      <c r="B42" s="1" t="n"/>
      <c r="C42" s="1" t="n"/>
      <c r="D42" s="1" t="n"/>
      <c r="E42" s="1" t="n"/>
      <c r="F42" s="1" t="n"/>
    </row>
    <row r="43">
      <c r="A43" s="12" t="inlineStr">
        <is>
          <t>End Sub</t>
        </is>
      </c>
      <c r="B43" s="1" t="n"/>
      <c r="C43" s="1" t="n"/>
      <c r="D43" s="1" t="n"/>
      <c r="E43" s="1" t="n"/>
      <c r="F43" s="1" t="n"/>
    </row>
    <row r="44">
      <c r="A44" s="12" t="n"/>
      <c r="B44" s="1" t="n"/>
      <c r="C44" s="1" t="n"/>
      <c r="D44" s="1" t="n"/>
      <c r="E44" s="1" t="n"/>
      <c r="F44" s="1" t="n"/>
    </row>
    <row r="45">
      <c r="A45" s="12" t="inlineStr">
        <is>
          <t>Private Function SatisKuruBul(ByVal doc As Object, ByVal kod As String) As Double</t>
        </is>
      </c>
      <c r="B45" s="1" t="n"/>
      <c r="C45" s="1" t="n"/>
      <c r="D45" s="1" t="n"/>
      <c r="E45" s="1" t="n"/>
      <c r="F45" s="1" t="n"/>
    </row>
    <row r="46">
      <c r="A46" s="12" t="inlineStr">
        <is>
          <t xml:space="preserve">    Dim tr As Object, hucreler As Object, metin As String, j As Long, k As Long, sayac As Long, deger As Double</t>
        </is>
      </c>
      <c r="B46" s="1" t="n"/>
      <c r="C46" s="1" t="n"/>
      <c r="D46" s="1" t="n"/>
      <c r="E46" s="1" t="n"/>
      <c r="F46" s="1" t="n"/>
    </row>
    <row r="47">
      <c r="A47" s="12" t="inlineStr">
        <is>
          <t xml:space="preserve">    For Each tr In doc.getElementsByTagName("tr")</t>
        </is>
      </c>
      <c r="B47" s="1" t="n"/>
      <c r="C47" s="1" t="n"/>
      <c r="D47" s="1" t="n"/>
      <c r="E47" s="1" t="n"/>
      <c r="F47" s="1" t="n"/>
    </row>
    <row r="48">
      <c r="A48" s="12" t="inlineStr">
        <is>
          <t xml:space="preserve">        Set hucreler = tr.getElementsByTagName("td")</t>
        </is>
      </c>
      <c r="B48" s="1" t="n"/>
      <c r="C48" s="1" t="n"/>
      <c r="D48" s="1" t="n"/>
      <c r="E48" s="1" t="n"/>
      <c r="F48" s="1" t="n"/>
    </row>
    <row r="49">
      <c r="A49" s="12" t="inlineStr">
        <is>
          <t xml:space="preserve">        For j = 0 To hucreler.Length - 1</t>
        </is>
      </c>
      <c r="B49" s="1" t="n"/>
      <c r="C49" s="1" t="n"/>
      <c r="D49" s="1" t="n"/>
      <c r="E49" s="1" t="n"/>
      <c r="F49" s="1" t="n"/>
    </row>
    <row r="50">
      <c r="A50" s="12" t="inlineStr">
        <is>
          <t xml:space="preserve">            If InStr(1, " " &amp; UCase$(Trim$(hucreler.Item(j).innerText)) &amp; " ", " " &amp; UCase$(kod) &amp; " ", vbTextCompare) &gt; 0 Then</t>
        </is>
      </c>
      <c r="B50" s="1" t="n"/>
      <c r="C50" s="1" t="n"/>
      <c r="D50" s="1" t="n"/>
      <c r="E50" s="1" t="n"/>
      <c r="F50" s="1" t="n"/>
    </row>
    <row r="51">
      <c r="A51" s="12" t="inlineStr">
        <is>
          <t xml:space="preserve">                sayac = 0</t>
        </is>
      </c>
      <c r="B51" s="1" t="n"/>
      <c r="C51" s="1" t="n"/>
      <c r="D51" s="1" t="n"/>
      <c r="E51" s="1" t="n"/>
      <c r="F51" s="1" t="n"/>
    </row>
    <row r="52">
      <c r="A52" s="12" t="inlineStr">
        <is>
          <t xml:space="preserve">                For k = j + 1 To hucreler.Length - 1</t>
        </is>
      </c>
      <c r="B52" s="1" t="n"/>
      <c r="C52" s="1" t="n"/>
      <c r="D52" s="1" t="n"/>
      <c r="E52" s="1" t="n"/>
      <c r="F52" s="1" t="n"/>
    </row>
    <row r="53">
      <c r="A53" s="12" t="inlineStr">
        <is>
          <t xml:space="preserve">                    metin = Trim$(hucreler.Item(k).innerText): deger = YerelSayiyaCevir(metin)</t>
        </is>
      </c>
      <c r="B53" s="1" t="n"/>
      <c r="C53" s="1" t="n"/>
      <c r="D53" s="1" t="n"/>
      <c r="E53" s="1" t="n"/>
      <c r="F53" s="1" t="n"/>
    </row>
    <row r="54">
      <c r="A54" s="12" t="inlineStr">
        <is>
          <t xml:space="preserve">                    If deger &gt; 0 Then sayac = sayac + 1: If sayac = 2 Then SatisKuruBul = deger: Exit Function</t>
        </is>
      </c>
      <c r="B54" s="1" t="n"/>
      <c r="C54" s="1" t="n"/>
      <c r="D54" s="1" t="n"/>
      <c r="E54" s="1" t="n"/>
      <c r="F54" s="1" t="n"/>
    </row>
    <row r="55">
      <c r="A55" s="12" t="inlineStr">
        <is>
          <t xml:space="preserve">                Next k</t>
        </is>
      </c>
      <c r="B55" s="1" t="n"/>
      <c r="C55" s="1" t="n"/>
      <c r="D55" s="1" t="n"/>
      <c r="E55" s="1" t="n"/>
      <c r="F55" s="1" t="n"/>
    </row>
    <row r="56">
      <c r="A56" s="12" t="inlineStr">
        <is>
          <t xml:space="preserve">            End If</t>
        </is>
      </c>
      <c r="B56" s="1" t="n"/>
      <c r="C56" s="1" t="n"/>
      <c r="D56" s="1" t="n"/>
      <c r="E56" s="1" t="n"/>
      <c r="F56" s="1" t="n"/>
    </row>
    <row r="57">
      <c r="A57" s="12" t="inlineStr">
        <is>
          <t xml:space="preserve">        Next j</t>
        </is>
      </c>
      <c r="B57" s="1" t="n"/>
      <c r="C57" s="1" t="n"/>
      <c r="D57" s="1" t="n"/>
      <c r="E57" s="1" t="n"/>
      <c r="F57" s="1" t="n"/>
    </row>
    <row r="58">
      <c r="A58" s="12" t="inlineStr">
        <is>
          <t xml:space="preserve">    Next tr</t>
        </is>
      </c>
      <c r="B58" s="1" t="n"/>
      <c r="C58" s="1" t="n"/>
      <c r="D58" s="1" t="n"/>
      <c r="E58" s="1" t="n"/>
      <c r="F58" s="1" t="n"/>
    </row>
    <row r="59">
      <c r="A59" s="12" t="inlineStr">
        <is>
          <t>End Function</t>
        </is>
      </c>
      <c r="B59" s="1" t="n"/>
      <c r="C59" s="1" t="n"/>
      <c r="D59" s="1" t="n"/>
      <c r="E59" s="1" t="n"/>
      <c r="F59" s="1" t="n"/>
    </row>
    <row r="60">
      <c r="A60" s="12" t="inlineStr">
        <is>
          <t>Private Function YerelSayiyaCevir(ByVal metin As String) As Double</t>
        </is>
      </c>
      <c r="B60" s="1" t="n"/>
      <c r="C60" s="1" t="n"/>
      <c r="D60" s="1" t="n"/>
      <c r="E60" s="1" t="n"/>
      <c r="F60" s="1" t="n"/>
    </row>
    <row r="61">
      <c r="A61" s="12" t="inlineStr">
        <is>
          <t xml:space="preserve">    Dim s As String, ayirac As String</t>
        </is>
      </c>
      <c r="B61" s="1" t="n"/>
      <c r="C61" s="1" t="n"/>
      <c r="D61" s="1" t="n"/>
      <c r="E61" s="1" t="n"/>
      <c r="F61" s="1" t="n"/>
    </row>
    <row r="62">
      <c r="A62" s="12" t="inlineStr">
        <is>
          <t xml:space="preserve">    ayirac = Application.International(xlDecimalSeparator)</t>
        </is>
      </c>
      <c r="B62" s="1" t="n"/>
      <c r="C62" s="1" t="n"/>
      <c r="D62" s="1" t="n"/>
      <c r="E62" s="1" t="n"/>
      <c r="F62" s="1" t="n"/>
    </row>
    <row r="63">
      <c r="A63" s="12" t="inlineStr">
        <is>
          <t xml:space="preserve">    s = Replace(Replace(Replace(Trim$(metin), "TL", ""), Chr(160), ""), " ", "")</t>
        </is>
      </c>
      <c r="B63" s="1" t="n"/>
      <c r="C63" s="1" t="n"/>
      <c r="D63" s="1" t="n"/>
      <c r="E63" s="1" t="n"/>
      <c r="F63" s="1" t="n"/>
    </row>
    <row r="64">
      <c r="A64" s="12" t="inlineStr">
        <is>
          <t xml:space="preserve">    If InStr(s, ",") &gt; 0 Then</t>
        </is>
      </c>
      <c r="B64" s="1" t="n"/>
      <c r="C64" s="1" t="n"/>
      <c r="D64" s="1" t="n"/>
      <c r="E64" s="1" t="n"/>
      <c r="F64" s="1" t="n"/>
    </row>
    <row r="65">
      <c r="A65" s="12" t="inlineStr">
        <is>
          <t xml:space="preserve">        s = Replace(s, ".", "")</t>
        </is>
      </c>
      <c r="B65" s="1" t="n"/>
      <c r="C65" s="1" t="n"/>
      <c r="D65" s="1" t="n"/>
      <c r="E65" s="1" t="n"/>
      <c r="F65" s="1" t="n"/>
    </row>
    <row r="66">
      <c r="A66" s="12" t="inlineStr">
        <is>
          <t xml:space="preserve">        s = Replace(s, ",", ayirac)</t>
        </is>
      </c>
      <c r="B66" s="1" t="n"/>
      <c r="C66" s="1" t="n"/>
      <c r="D66" s="1" t="n"/>
      <c r="E66" s="1" t="n"/>
      <c r="F66" s="1" t="n"/>
    </row>
    <row r="67">
      <c r="A67" s="12" t="inlineStr">
        <is>
          <t xml:space="preserve">    Else</t>
        </is>
      </c>
      <c r="B67" s="1" t="n"/>
      <c r="C67" s="1" t="n"/>
      <c r="D67" s="1" t="n"/>
      <c r="E67" s="1" t="n"/>
      <c r="F67" s="1" t="n"/>
    </row>
    <row r="68">
      <c r="A68" s="12" t="inlineStr">
        <is>
          <t xml:space="preserve">        s = Replace(s, ".", ayirac)</t>
        </is>
      </c>
      <c r="B68" s="1" t="n"/>
      <c r="C68" s="1" t="n"/>
      <c r="D68" s="1" t="n"/>
      <c r="E68" s="1" t="n"/>
      <c r="F68" s="1" t="n"/>
    </row>
    <row r="69">
      <c r="A69" s="12" t="inlineStr">
        <is>
          <t xml:space="preserve">    End If</t>
        </is>
      </c>
      <c r="B69" s="1" t="n"/>
      <c r="C69" s="1" t="n"/>
      <c r="D69" s="1" t="n"/>
      <c r="E69" s="1" t="n"/>
      <c r="F69" s="1" t="n"/>
    </row>
    <row r="70">
      <c r="A70" s="12" t="inlineStr">
        <is>
          <t xml:space="preserve">    If IsNumeric(s) Then YerelSayiyaCevir = CDbl(s)</t>
        </is>
      </c>
      <c r="B70" s="1" t="n"/>
      <c r="C70" s="1" t="n"/>
      <c r="D70" s="1" t="n"/>
      <c r="E70" s="1" t="n"/>
      <c r="F70" s="1" t="n"/>
    </row>
    <row r="71">
      <c r="A71" s="12" t="inlineStr">
        <is>
          <t>End Function</t>
        </is>
      </c>
      <c r="B71" s="1" t="n"/>
      <c r="C71" s="1" t="n"/>
      <c r="D71" s="1" t="n"/>
      <c r="E71" s="1" t="n"/>
      <c r="F71" s="1" t="n"/>
    </row>
    <row r="72">
      <c r="A72" s="1" t="n"/>
      <c r="B72" s="1" t="n"/>
      <c r="C72" s="1" t="n"/>
      <c r="D72" s="1" t="n"/>
      <c r="E72" s="1" t="n"/>
      <c r="F72" s="1" t="n"/>
    </row>
    <row r="73">
      <c r="A73" s="1" t="n"/>
      <c r="B73" s="1" t="n"/>
      <c r="C73" s="1" t="n"/>
      <c r="D73" s="1" t="n"/>
      <c r="E73" s="1" t="n"/>
      <c r="F73" s="1" t="n"/>
    </row>
    <row r="74">
      <c r="A74" s="177" t="inlineStr">
        <is>
          <t>2) VBAProject → ThisWorkbook → Aşağıdaki açılış kodunu yapıştırın</t>
        </is>
      </c>
    </row>
    <row r="75">
      <c r="A75" s="1" t="n"/>
      <c r="B75" s="1" t="n"/>
      <c r="C75" s="1" t="n"/>
      <c r="D75" s="1" t="n"/>
      <c r="E75" s="1" t="n"/>
      <c r="F75" s="1" t="n"/>
    </row>
    <row r="76">
      <c r="A76" s="12" t="inlineStr">
        <is>
          <t>Private Sub Workbook_Open()</t>
        </is>
      </c>
      <c r="B76" s="1" t="n"/>
      <c r="C76" s="1" t="n"/>
      <c r="D76" s="1" t="n"/>
      <c r="E76" s="1" t="n"/>
      <c r="F76" s="1" t="n"/>
    </row>
    <row r="77">
      <c r="A77" s="12" t="inlineStr">
        <is>
          <t xml:space="preserve">    On Error Resume Next</t>
        </is>
      </c>
      <c r="B77" s="1" t="n"/>
      <c r="C77" s="1" t="n"/>
      <c r="D77" s="1" t="n"/>
      <c r="E77" s="1" t="n"/>
      <c r="F77" s="1" t="n"/>
    </row>
    <row r="78">
      <c r="A78" s="12" t="inlineStr">
        <is>
          <t xml:space="preserve">    IsBankasiKurlariGuncelle</t>
        </is>
      </c>
      <c r="B78" s="1" t="n"/>
      <c r="C78" s="1" t="n"/>
      <c r="D78" s="1" t="n"/>
      <c r="E78" s="1" t="n"/>
      <c r="F78" s="1" t="n"/>
    </row>
    <row r="79">
      <c r="A79" s="12" t="inlineStr">
        <is>
          <t>End Sub</t>
        </is>
      </c>
      <c r="B79" s="1" t="n"/>
      <c r="C79" s="1" t="n"/>
      <c r="D79" s="1" t="n"/>
      <c r="E79" s="1" t="n"/>
      <c r="F79" s="1" t="n"/>
    </row>
    <row r="80">
      <c r="A80" s="1" t="n"/>
      <c r="B80" s="1" t="n"/>
      <c r="C80" s="1" t="n"/>
      <c r="D80" s="1" t="n"/>
      <c r="E80" s="1" t="n"/>
      <c r="F80" s="1" t="n"/>
    </row>
    <row r="81">
      <c r="A81" s="1" t="n"/>
      <c r="B81" s="1" t="n"/>
      <c r="C81" s="1" t="n"/>
      <c r="D81" s="1" t="n"/>
      <c r="E81" s="1" t="n"/>
      <c r="F81" s="1" t="n"/>
    </row>
    <row r="82" ht="27.75" customHeight="1" s="164">
      <c r="A82" s="174" t="inlineStr">
        <is>
          <t>Güvenlik: Makroları yalnızca bu dosyaya güveniyorsanız etkinleştirin. Bankanın sayfa yapısı değişirse kodun ayrıştırma bölümü güncellenmelidir. Resmi API kullanımı için İş Bankası API Portalı aboneliği gerekir.</t>
        </is>
      </c>
    </row>
    <row r="83" ht="27.75" customHeight="1" s="164"/>
    <row r="84">
      <c r="A84" s="1" t="n"/>
      <c r="B84" s="1" t="n"/>
      <c r="C84" s="1" t="n"/>
      <c r="D84" s="1" t="n"/>
      <c r="E84" s="1" t="n"/>
      <c r="F84" s="1" t="n"/>
    </row>
    <row r="86" ht="24" customHeight="1" s="164">
      <c r="A86" s="179" t="inlineStr">
        <is>
          <t>3) Alt+F11 → Ekle → Modül → Aşağıdaki WhatsApp PDF modülünü yapıştırın</t>
        </is>
      </c>
    </row>
    <row r="87" ht="15" customHeight="1" s="164"/>
    <row r="88" ht="15" customHeight="1" s="164">
      <c r="A88" s="14" t="inlineStr">
        <is>
          <t>Option Explicit</t>
        </is>
      </c>
    </row>
    <row r="89" ht="15" customHeight="1" s="164">
      <c r="A89" s="14" t="n"/>
    </row>
    <row r="90" ht="15" customHeight="1" s="164">
      <c r="A90" s="14" t="inlineStr">
        <is>
          <t>Private Const BEKLEME_SANIYE As Long = 15</t>
        </is>
      </c>
    </row>
    <row r="91" ht="15" customHeight="1" s="164">
      <c r="A91" s="14" t="inlineStr">
        <is>
          <t>Private Const MAKRO_SURUMU As String = "2026.09.27-v3"</t>
        </is>
      </c>
    </row>
    <row r="92" ht="15" customHeight="1" s="164">
      <c r="A92" s="14" t="n"/>
    </row>
    <row r="93" ht="15" customHeight="1" s="164">
      <c r="A93" s="14" t="inlineStr">
        <is>
          <t>Public Sub TeklifiWhatsAppPDFGonder()</t>
        </is>
      </c>
    </row>
    <row r="94" ht="15" customHeight="1" s="164">
      <c r="A94" s="14" t="inlineStr">
        <is>
          <t xml:space="preserve">    On Error GoTo Hata</t>
        </is>
      </c>
    </row>
    <row r="95" ht="15" customHeight="1" s="164">
      <c r="A95" s="14" t="inlineStr">
        <is>
          <t xml:space="preserve">    Dim ws As Worksheet, tel As String, pdf As String, klasor As String</t>
        </is>
      </c>
    </row>
    <row r="96" ht="15" customHeight="1" s="164">
      <c r="A96" s="14" t="inlineStr">
        <is>
          <t xml:space="preserve">    Dim dosya As String, mesaj As String, url As String, kabuk As Object</t>
        </is>
      </c>
    </row>
    <row r="97" ht="15" customHeight="1" s="164">
      <c r="A97" s="14" t="inlineStr">
        <is>
          <t xml:space="preserve">    Dim asama As String</t>
        </is>
      </c>
    </row>
    <row r="98" ht="15" customHeight="1" s="164">
      <c r="A98" s="14" t="n"/>
    </row>
    <row r="99" ht="15" customHeight="1" s="164">
      <c r="A99" s="14" t="inlineStr">
        <is>
          <t xml:space="preserve">    asama = "Teklif sayfası hazırlanıyor"</t>
        </is>
      </c>
    </row>
    <row r="100" ht="15" customHeight="1" s="164">
      <c r="A100" s="14" t="inlineStr">
        <is>
          <t xml:space="preserve">    Set ws = ThisWorkbook.Worksheets("Teklif Formu")</t>
        </is>
      </c>
    </row>
    <row r="101" ht="15" customHeight="1" s="164">
      <c r="A101" s="14" t="inlineStr">
        <is>
          <t xml:space="preserve">    tel = TemizTelefon(InputBox("Alıcı telefonunu ülke koduyla girin (örn. 905xxxxxxxxx):", "WhatsApp PDF Paylaşımı " &amp; MAKRO_SURUMU))</t>
        </is>
      </c>
    </row>
    <row r="102" ht="15" customHeight="1" s="164">
      <c r="A102" s="14" t="inlineStr">
        <is>
          <t xml:space="preserve">    If Len(tel) = 0 Then Exit Sub</t>
        </is>
      </c>
    </row>
    <row r="103" ht="15" customHeight="1" s="164">
      <c r="A103" s="14" t="inlineStr">
        <is>
          <t xml:space="preserve">    If Len(tel) &lt; 10 Or Len(tel) &gt; 15 Then Err.Raise vbObjectError + 201, , "Telefon numarası geçersiz."</t>
        </is>
      </c>
    </row>
    <row r="104" ht="15" customHeight="1" s="164">
      <c r="A104" s="14" t="inlineStr">
        <is>
          <t xml:space="preserve">    If MsgBox("Teklif PDF olarak oluşturulup +" &amp; tel &amp; " numarasına gönderilecek. Devam edilsin mi?", vbYesNo + vbQuestion, "Onay " &amp; MAKRO_SURUMU) &lt;&gt; vbYes Then Exit Sub</t>
        </is>
      </c>
    </row>
    <row r="105" ht="15" customHeight="1" s="164">
      <c r="A105" s="14" t="n"/>
    </row>
    <row r="106" ht="15" customHeight="1" s="164">
      <c r="A106" s="14" t="inlineStr">
        <is>
          <t xml:space="preserve">    klasor = Environ$("TEMP")</t>
        </is>
      </c>
    </row>
    <row r="107" ht="15" customHeight="1" s="164">
      <c r="A107" s="14" t="inlineStr">
        <is>
          <t xml:space="preserve">    If Len(klasor) = 0 Or Len(Dir$(klasor, vbDirectory)) = 0 Then Err.Raise vbObjectError + 202, , "TEMP klasörü bulunamadı."</t>
        </is>
      </c>
    </row>
    <row r="108" ht="15" customHeight="1" s="164">
      <c r="A108" s="14" t="inlineStr">
        <is>
          <t xml:space="preserve">    dosya = "Teklif_" &amp; DosyaAdiTemizle(CStr(ws.Range("J3").Text)) &amp; "_" &amp; Format(Now, "yyyymmdd_hhnnss") &amp; ".pdf"</t>
        </is>
      </c>
    </row>
    <row r="109" ht="15" customHeight="1" s="164">
      <c r="A109" s="14" t="inlineStr">
        <is>
          <t xml:space="preserve">    pdf = klasor &amp; "\" &amp; dosya</t>
        </is>
      </c>
    </row>
    <row r="110" ht="15" customHeight="1" s="164">
      <c r="A110" s="14" t="inlineStr">
        <is>
          <t xml:space="preserve">    Application.ScreenUpdating = False</t>
        </is>
      </c>
    </row>
    <row r="111" ht="15" customHeight="1" s="164">
      <c r="A111" s="14" t="n"/>
    </row>
    <row r="112" ht="15" customHeight="1" s="164">
      <c r="A112" s="14" t="inlineStr">
        <is>
          <t xml:space="preserve">    asama = "A4 PDF oluşturuluyor"</t>
        </is>
      </c>
    </row>
    <row r="113" ht="15" customHeight="1" s="164">
      <c r="A113" s="14" t="inlineStr">
        <is>
          <t xml:space="preserve">    With ws.PageSetup</t>
        </is>
      </c>
    </row>
    <row r="114" ht="15" customHeight="1" s="164">
      <c r="A114" s="14" t="inlineStr">
        <is>
          <t xml:space="preserve">        .PrintArea = "$A$1:$K$40"</t>
        </is>
      </c>
    </row>
    <row r="115" ht="15" customHeight="1" s="164">
      <c r="A115" s="14" t="inlineStr">
        <is>
          <t xml:space="preserve">        .Orientation = xlPortrait</t>
        </is>
      </c>
    </row>
    <row r="116" ht="15" customHeight="1" s="164">
      <c r="A116" s="14" t="inlineStr">
        <is>
          <t xml:space="preserve">        .PaperSize = xlPaperA4</t>
        </is>
      </c>
    </row>
    <row r="117" ht="15" customHeight="1" s="164">
      <c r="A117" s="14" t="inlineStr">
        <is>
          <t xml:space="preserve">        .Zoom = False</t>
        </is>
      </c>
    </row>
    <row r="118" ht="15" customHeight="1" s="164">
      <c r="A118" s="14" t="inlineStr">
        <is>
          <t xml:space="preserve">        .FitToPagesWide = 1</t>
        </is>
      </c>
    </row>
    <row r="119" ht="15" customHeight="1" s="164">
      <c r="A119" s="14" t="inlineStr">
        <is>
          <t xml:space="preserve">        .FitToPagesTall = 1</t>
        </is>
      </c>
    </row>
    <row r="120" ht="15" customHeight="1" s="164">
      <c r="A120" s="14" t="inlineStr">
        <is>
          <t xml:space="preserve">        .CenterHorizontally = True</t>
        </is>
      </c>
    </row>
    <row r="121" ht="15" customHeight="1" s="164">
      <c r="A121" s="14" t="inlineStr">
        <is>
          <t xml:space="preserve">        .LeftMargin = Application.CentimetersToPoints(0.6)</t>
        </is>
      </c>
    </row>
    <row r="122" ht="15" customHeight="1" s="164">
      <c r="A122" s="14" t="inlineStr">
        <is>
          <t xml:space="preserve">        .RightMargin = Application.CentimetersToPoints(0.6)</t>
        </is>
      </c>
    </row>
    <row r="123" ht="15" customHeight="1" s="164">
      <c r="A123" s="14" t="inlineStr">
        <is>
          <t xml:space="preserve">        .TopMargin = Application.CentimetersToPoints(0.6)</t>
        </is>
      </c>
    </row>
    <row r="124" ht="15" customHeight="1" s="164">
      <c r="A124" s="14" t="inlineStr">
        <is>
          <t xml:space="preserve">        .BottomMargin = Application.CentimetersToPoints(0.6)</t>
        </is>
      </c>
    </row>
    <row r="125" ht="15" customHeight="1" s="164">
      <c r="A125" s="14" t="inlineStr">
        <is>
          <t xml:space="preserve">    End With</t>
        </is>
      </c>
    </row>
    <row r="126" ht="15" customHeight="1" s="164">
      <c r="A126" s="14" t="inlineStr">
        <is>
          <t xml:space="preserve">    ws.ExportAsFixedFormat Type:=xlTypePDF, FileName:=pdf, Quality:=xlQualityStandard, IncludeDocProperties:=True, IgnorePrintAreas:=False, OpenAfterPublish:=False</t>
        </is>
      </c>
    </row>
    <row r="127" ht="15" customHeight="1" s="164">
      <c r="A127" s="14" t="inlineStr">
        <is>
          <t xml:space="preserve">    If Len(Dir$(pdf)) = 0 Then Err.Raise vbObjectError + 203, , "PDF oluşturulamadı."</t>
        </is>
      </c>
    </row>
    <row r="128" ht="15" customHeight="1" s="164">
      <c r="A128" s="14" t="n"/>
    </row>
    <row r="129" ht="15" customHeight="1" s="164">
      <c r="A129" s="14" t="inlineStr">
        <is>
          <t xml:space="preserve">    asama = "PDF Windows panosuna alınıyor"</t>
        </is>
      </c>
    </row>
    <row r="130" ht="15" customHeight="1" s="164">
      <c r="A130" s="14" t="inlineStr">
        <is>
          <t xml:space="preserve">    DosyayiPanoyaKopyala pdf</t>
        </is>
      </c>
    </row>
    <row r="131" ht="15" customHeight="1" s="164">
      <c r="A131" s="14" t="n"/>
    </row>
    <row r="132" ht="15" customHeight="1" s="164">
      <c r="A132" s="14" t="inlineStr">
        <is>
          <t xml:space="preserve">    asama = "WhatsApp Web açılıyor"</t>
        </is>
      </c>
    </row>
    <row r="133" ht="15" customHeight="1" s="164">
      <c r="A133" s="14" t="inlineStr">
        <is>
          <t xml:space="preserve">    mesaj = "Teklif PDF dosyanız ektedir."</t>
        </is>
      </c>
    </row>
    <row r="134" ht="15" customHeight="1" s="164">
      <c r="A134" s="14" t="inlineStr">
        <is>
          <t xml:space="preserve">    url = "https://web.whatsapp.com/send?phone=" &amp; tel &amp; "&amp;text=" &amp; Application.WorksheetFunction.EncodeURL(mesaj)</t>
        </is>
      </c>
    </row>
    <row r="135" ht="15" customHeight="1" s="164">
      <c r="A135" s="14" t="inlineStr">
        <is>
          <t xml:space="preserve">    ThisWorkbook.FollowHyperlink Address:=url, NewWindow:=True</t>
        </is>
      </c>
    </row>
    <row r="136" ht="15" customHeight="1" s="164">
      <c r="A136" s="14" t="inlineStr">
        <is>
          <t xml:space="preserve">    Application.Wait Now + TimeSerial(0, 0, BEKLEME_SANIYE)</t>
        </is>
      </c>
    </row>
    <row r="137" ht="15" customHeight="1" s="164">
      <c r="A137" s="14" t="n"/>
    </row>
    <row r="138" ht="15" customHeight="1" s="164">
      <c r="A138" s="14" t="inlineStr">
        <is>
          <t xml:space="preserve">    asama = "WhatsApp penceresi etkinleştiriliyor"</t>
        </is>
      </c>
    </row>
    <row r="139" ht="15" customHeight="1" s="164">
      <c r="A139" s="14" t="inlineStr">
        <is>
          <t xml:space="preserve">    Set kabuk = CreateObject("WScript.Shell")</t>
        </is>
      </c>
    </row>
    <row r="140" ht="15" customHeight="1" s="164">
      <c r="A140" s="14" t="inlineStr">
        <is>
          <t xml:space="preserve">    If kabuk Is Nothing Then Err.Raise vbObjectError + 204, , "WScript.Shell başlatılamadı."</t>
        </is>
      </c>
    </row>
    <row r="141" ht="15" customHeight="1" s="164">
      <c r="A141" s="14" t="inlineStr">
        <is>
          <t xml:space="preserve">    If Not kabuk.AppActivate("WhatsApp") Then Err.Raise vbObjectError + 205, , "WhatsApp Web penceresi bulunamadı. Tarayıcı sekmesini açıp tekrar deneyin."</t>
        </is>
      </c>
    </row>
    <row r="142" ht="15" customHeight="1" s="164">
      <c r="A142" s="14" t="inlineStr">
        <is>
          <t xml:space="preserve">    Application.Wait Now + TimeSerial(0, 0, 1)</t>
        </is>
      </c>
    </row>
    <row r="143" ht="15" customHeight="1" s="164">
      <c r="A143" s="14" t="n"/>
    </row>
    <row r="144" ht="15" customHeight="1" s="164">
      <c r="A144" s="14" t="inlineStr">
        <is>
          <t xml:space="preserve">    asama = "PDF WhatsApp'a yapıştırılıyor"</t>
        </is>
      </c>
    </row>
    <row r="145" ht="15" customHeight="1" s="164">
      <c r="A145" s="14" t="inlineStr">
        <is>
          <t xml:space="preserve">    kabuk.SendKeys "^v", True</t>
        </is>
      </c>
    </row>
    <row r="146" ht="15" customHeight="1" s="164">
      <c r="A146" s="14" t="inlineStr">
        <is>
          <t xml:space="preserve">    Application.Wait Now + TimeSerial(0, 0, 4)</t>
        </is>
      </c>
    </row>
    <row r="147" ht="15" customHeight="1" s="164">
      <c r="A147" s="14" t="inlineStr">
        <is>
          <t xml:space="preserve">    kabuk.SendKeys "{ENTER}", True</t>
        </is>
      </c>
    </row>
    <row r="148" ht="15" customHeight="1" s="164">
      <c r="A148" s="14" t="n"/>
    </row>
    <row r="149" ht="15" customHeight="1" s="164">
      <c r="A149" s="14" t="inlineStr">
        <is>
          <t xml:space="preserve">    Application.ScreenUpdating = True</t>
        </is>
      </c>
    </row>
    <row r="150" ht="15" customHeight="1" s="164">
      <c r="A150" s="14" t="inlineStr">
        <is>
          <t xml:space="preserve">    MsgBox "PDF WhatsApp üzerinden gönderildi." &amp; vbCrLf &amp; "Sürüm: " &amp; MAKRO_SURUMU &amp; vbCrLf &amp; pdf, vbInformation</t>
        </is>
      </c>
    </row>
    <row r="151" ht="15" customHeight="1" s="164">
      <c r="A151" s="14" t="inlineStr">
        <is>
          <t xml:space="preserve">    Exit Sub</t>
        </is>
      </c>
    </row>
    <row r="152" ht="15" customHeight="1" s="164">
      <c r="A152" s="14" t="inlineStr">
        <is>
          <t>Hata:</t>
        </is>
      </c>
    </row>
    <row r="153" ht="15" customHeight="1" s="164">
      <c r="A153" s="14" t="inlineStr">
        <is>
          <t xml:space="preserve">    Application.ScreenUpdating = True</t>
        </is>
      </c>
    </row>
    <row r="154" ht="15" customHeight="1" s="164">
      <c r="A154" s="14" t="inlineStr">
        <is>
          <t xml:space="preserve">    MsgBox "WhatsApp paylaşımı tamamlanamadı." &amp; vbCrLf &amp; "Sürüm: " &amp; MAKRO_SURUMU &amp; vbCrLf &amp; "Aşama: " &amp; asama &amp; vbCrLf &amp; "Hata " &amp; Err.Number &amp; ": " &amp; Err.Description &amp; vbCrLf &amp; "PDF yolu: " &amp; pdf, vbExclamation</t>
        </is>
      </c>
    </row>
    <row r="155" ht="15" customHeight="1" s="164">
      <c r="A155" s="14" t="inlineStr">
        <is>
          <t>End Sub</t>
        </is>
      </c>
    </row>
    <row r="156" ht="15" customHeight="1" s="164">
      <c r="A156" s="14" t="n"/>
    </row>
    <row r="157" ht="15" customHeight="1" s="164">
      <c r="A157" s="14" t="inlineStr">
        <is>
          <t>Private Sub DosyayiPanoyaKopyala(ByVal pdf As String)</t>
        </is>
      </c>
    </row>
    <row r="158" ht="15" customHeight="1" s="164">
      <c r="A158" s="14" t="inlineStr">
        <is>
          <t xml:space="preserve">    Dim kabuk As Object, komut As String, guvenliYol As String</t>
        </is>
      </c>
    </row>
    <row r="159" ht="15" customHeight="1" s="164">
      <c r="A159" s="14" t="inlineStr">
        <is>
          <t xml:space="preserve">    Dim sonuc As Long</t>
        </is>
      </c>
    </row>
    <row r="160" ht="15" customHeight="1" s="164">
      <c r="A160" s="14" t="inlineStr">
        <is>
          <t xml:space="preserve">    If Len(Dir$(pdf)) = 0 Then Err.Raise vbObjectError + 206, , "Panoya alınacak PDF bulunamadı: " &amp; pdf</t>
        </is>
      </c>
    </row>
    <row r="161" ht="15" customHeight="1" s="164">
      <c r="A161" s="14" t="inlineStr">
        <is>
          <t xml:space="preserve">    guvenliYol = Replace(pdf, "'", "''")</t>
        </is>
      </c>
    </row>
    <row r="162" ht="15" customHeight="1" s="164">
      <c r="A162" s="14" t="inlineStr">
        <is>
          <t xml:space="preserve">    komut = "powershell.exe -NoProfile -STA -Command ""Add-Type -AssemblyName System.Windows.Forms; $f=New-Object System.Collections.Specialized.StringCollection; [void]$f.Add('" &amp; guvenliYol &amp; "'); [System.Windows.Forms.Clipboard]::SetFileDropList($f)"""</t>
        </is>
      </c>
    </row>
    <row r="163" ht="15" customHeight="1" s="164">
      <c r="A163" s="14" t="inlineStr">
        <is>
          <t xml:space="preserve">    Set kabuk = CreateObject("WScript.Shell")</t>
        </is>
      </c>
    </row>
    <row r="164" ht="15" customHeight="1" s="164">
      <c r="A164" s="14" t="inlineStr">
        <is>
          <t xml:space="preserve">    If kabuk Is Nothing Then Err.Raise vbObjectError + 207, , "WScript.Shell başlatılamadı."</t>
        </is>
      </c>
    </row>
    <row r="165" ht="15" customHeight="1" s="164">
      <c r="A165" s="14" t="inlineStr">
        <is>
          <t xml:space="preserve">    sonuc = kabuk.Run(komut, 0, True)</t>
        </is>
      </c>
    </row>
    <row r="166" ht="15" customHeight="1" s="164">
      <c r="A166" s="14" t="inlineStr">
        <is>
          <t xml:space="preserve">    If sonuc &lt;&gt; 0 Then Err.Raise vbObjectError + 208, , "PDF panoya alınamadı. PowerShell çıkış kodu: " &amp; sonuc</t>
        </is>
      </c>
    </row>
    <row r="167" ht="15" customHeight="1" s="164">
      <c r="A167" s="14" t="inlineStr">
        <is>
          <t xml:space="preserve">    DoEvents</t>
        </is>
      </c>
    </row>
    <row r="168" ht="15" customHeight="1" s="164">
      <c r="A168" s="14" t="inlineStr">
        <is>
          <t xml:space="preserve">    Application.Wait Now + TimeSerial(0, 0, 2)</t>
        </is>
      </c>
    </row>
    <row r="169" ht="15" customHeight="1" s="164">
      <c r="A169" s="14" t="inlineStr">
        <is>
          <t>End Sub</t>
        </is>
      </c>
    </row>
    <row r="170" ht="15" customHeight="1" s="164">
      <c r="A170" s="14" t="n"/>
    </row>
    <row r="171" ht="15" customHeight="1" s="164">
      <c r="A171" s="14" t="inlineStr">
        <is>
          <t>Public Sub TumFonksiyonlariTestEt()</t>
        </is>
      </c>
    </row>
    <row r="172" ht="15" customHeight="1" s="164">
      <c r="A172" s="14" t="inlineStr">
        <is>
          <t xml:space="preserve">    On Error GoTo Hata</t>
        </is>
      </c>
    </row>
    <row r="173" ht="15" customHeight="1" s="164">
      <c r="A173" s="14" t="inlineStr">
        <is>
          <t xml:space="preserve">    Dim ws As Worksheet, pdf As String, sonuc As String</t>
        </is>
      </c>
    </row>
    <row r="174" ht="15" customHeight="1" s="164">
      <c r="A174" s="14" t="inlineStr">
        <is>
          <t xml:space="preserve">    Dim eskiA As Variant, eskiI As Variant, eskiJ As Variant, hataNo As Long, hataAciklama As String</t>
        </is>
      </c>
    </row>
    <row r="175" ht="15" customHeight="1" s="164">
      <c r="A175" s="14" t="inlineStr">
        <is>
          <t xml:space="preserve">    Set ws = ThisWorkbook.Worksheets("Teklif Formu")</t>
        </is>
      </c>
    </row>
    <row r="176" ht="15" customHeight="1" s="164">
      <c r="A176" s="14" t="inlineStr">
        <is>
          <t xml:space="preserve">    eskiA = ws.Range("A30").Value</t>
        </is>
      </c>
    </row>
    <row r="177" ht="15" customHeight="1" s="164">
      <c r="A177" s="14" t="inlineStr">
        <is>
          <t xml:space="preserve">    eskiI = ws.Range("I30").Value</t>
        </is>
      </c>
    </row>
    <row r="178" ht="15" customHeight="1" s="164">
      <c r="A178" s="14" t="inlineStr">
        <is>
          <t xml:space="preserve">    eskiJ = ws.Range("J30").Formula</t>
        </is>
      </c>
    </row>
    <row r="179" ht="15" customHeight="1" s="164">
      <c r="A179" s="14" t="n"/>
    </row>
    <row r="180" ht="15" customHeight="1" s="164">
      <c r="A180" s="14" t="inlineStr">
        <is>
          <t xml:space="preserve">    If TemizTelefon("0532 123 45 67") &lt;&gt; "905321234567" Then Err.Raise vbObjectError + 210, , "Telefon testi başarısız."</t>
        </is>
      </c>
    </row>
    <row r="181" ht="15" customHeight="1" s="164">
      <c r="A181" s="14" t="inlineStr">
        <is>
          <t xml:space="preserve">    If DosyaAdiTemizle("T:1/2?*") &lt;&gt; "T-1-2--" Then Err.Raise vbObjectError + 211, , "Dosya adı testi başarısız."</t>
        </is>
      </c>
    </row>
    <row r="182" ht="15" customHeight="1" s="164">
      <c r="A182" s="14" t="n"/>
    </row>
    <row r="183" ht="15" customHeight="1" s="164">
      <c r="A183" s="14" t="inlineStr">
        <is>
          <t xml:space="preserve">    ws.Range("A30").Value = "Y.S. HELYUM GAZI"</t>
        </is>
      </c>
    </row>
    <row r="184" ht="15" customHeight="1" s="164">
      <c r="A184" s="14" t="inlineStr">
        <is>
          <t xml:space="preserve">    ws.Range("I30").Value = "USD"</t>
        </is>
      </c>
    </row>
    <row r="185">
      <c r="A185" t="inlineStr">
        <is>
          <t xml:space="preserve">    Application.CalculateFull</t>
        </is>
      </c>
    </row>
    <row r="186">
      <c r="A186" t="inlineStr">
        <is>
          <t xml:space="preserve">    If ws.Range("B30").Value &lt;&gt; 200 Then Err.Raise vbObjectError + 212, , "Ürün BAR formülü testi başarısız."</t>
        </is>
      </c>
    </row>
    <row r="187" ht="60" customHeight="1" s="164">
      <c r="A187" s="17" t="inlineStr">
        <is>
          <t xml:space="preserve">    If Abs(ws.Range("C30").Value - 9.2) &gt; 0.0001 Then Err.Raise vbObjectError + 213, , "Gaz miktarı formülü testi başarısız."</t>
        </is>
      </c>
    </row>
    <row r="188" ht="15" customHeight="1" s="164">
      <c r="A188" s="16" t="inlineStr">
        <is>
          <t xml:space="preserve">    If ws.Range("J30").Value &lt;= 1 Then Err.Raise vbObjectError + 214, , "Kur formülü testi başarısız."</t>
        </is>
      </c>
    </row>
    <row r="189">
      <c r="A189" s="16" t="inlineStr">
        <is>
          <t xml:space="preserve">    ws.Range("A30").Value = eskiA</t>
        </is>
      </c>
    </row>
    <row r="190" ht="15" customHeight="1" s="164">
      <c r="A190" s="16" t="inlineStr">
        <is>
          <t xml:space="preserve">    ws.Range("I30").Value = eskiI</t>
        </is>
      </c>
    </row>
    <row r="191" ht="15" customHeight="1" s="164">
      <c r="A191" s="16" t="inlineStr">
        <is>
          <t xml:space="preserve">    ws.Range("J30").Formula = eskiJ</t>
        </is>
      </c>
    </row>
    <row r="192">
      <c r="A192" s="16" t="inlineStr">
        <is>
          <t xml:space="preserve">    Application.CalculateFull</t>
        </is>
      </c>
    </row>
    <row r="194" ht="18.75" customHeight="1" s="164">
      <c r="A194" s="219" t="inlineStr">
        <is>
          <t xml:space="preserve">    pdf = Environ$("TEMP") &amp; "\Teklif_PDF_Test.pdf"</t>
        </is>
      </c>
      <c r="B194" s="219" t="n"/>
      <c r="C194" s="219" t="n"/>
      <c r="D194" s="219" t="n"/>
      <c r="E194" s="219" t="n"/>
      <c r="F194" s="219" t="n"/>
    </row>
    <row r="195">
      <c r="A195" s="20" t="inlineStr">
        <is>
          <t xml:space="preserve">    ws.ExportAsFixedFormat Type:=xlTypePDF, FileName:=pdf, Quality:=xlQualityStandard, IncludeDocProperties:=True, IgnorePrintAreas:=False, OpenAfterPublish:=False</t>
        </is>
      </c>
      <c r="B195" s="20" t="n"/>
      <c r="C195" s="20" t="n"/>
      <c r="D195" s="20" t="n"/>
      <c r="E195" s="20" t="n"/>
      <c r="F195" s="20" t="n"/>
    </row>
    <row r="196" ht="15" customHeight="1" s="164">
      <c r="A196" s="24" t="inlineStr">
        <is>
          <t xml:space="preserve">    If Len(Dir$(pdf)) = 0 Then Err.Raise vbObjectError + 215, , "PDF oluşturma testi başarısız."</t>
        </is>
      </c>
      <c r="B196" s="21" t="n"/>
      <c r="C196" s="181" t="n"/>
      <c r="D196" s="181" t="n"/>
      <c r="E196" s="181" t="n"/>
      <c r="F196" s="181" t="n"/>
    </row>
    <row r="197" ht="15" customHeight="1" s="164">
      <c r="A197" s="24" t="inlineStr">
        <is>
          <t xml:space="preserve">    DosyayiPanoyaKopyala pdf</t>
        </is>
      </c>
      <c r="B197" s="21" t="n"/>
      <c r="C197" s="181" t="n"/>
      <c r="D197" s="181" t="n"/>
      <c r="E197" s="181" t="n"/>
      <c r="F197" s="181" t="n"/>
    </row>
    <row r="198" ht="15" customHeight="1" s="164">
      <c r="A198" s="24" t="n"/>
      <c r="B198" s="21" t="n"/>
      <c r="C198" s="181" t="n"/>
      <c r="D198" s="181" t="n"/>
      <c r="E198" s="181" t="n"/>
      <c r="F198" s="181" t="n"/>
    </row>
    <row r="199" ht="15" customHeight="1" s="164">
      <c r="A199" s="24" t="inlineStr">
        <is>
          <t xml:space="preserve">    sonuc = "Tüm testler başarılı:" &amp; vbCrLf &amp; _</t>
        </is>
      </c>
      <c r="B199" s="21" t="n"/>
      <c r="C199" s="181" t="n"/>
      <c r="D199" s="181" t="n"/>
      <c r="E199" s="181" t="n"/>
      <c r="F199" s="181" t="n"/>
    </row>
    <row r="200" ht="15" customHeight="1" s="164">
      <c r="A200" s="24" t="inlineStr">
        <is>
          <t xml:space="preserve">             "• Telefon ve dosya adı" &amp; vbCrLf &amp; _</t>
        </is>
      </c>
      <c r="B200" s="21" t="n"/>
      <c r="C200" s="181" t="n"/>
      <c r="D200" s="181" t="n"/>
      <c r="E200" s="181" t="n"/>
      <c r="F200" s="181" t="n"/>
    </row>
    <row r="201" ht="15" customHeight="1" s="164">
      <c r="A201" s="25" t="inlineStr">
        <is>
          <t xml:space="preserve">             "• Ürün, gaz ve kur formülleri" &amp; vbCrLf &amp; _</t>
        </is>
      </c>
      <c r="B201" s="23" t="n"/>
      <c r="C201" s="40" t="n"/>
      <c r="D201" s="40" t="n"/>
      <c r="E201" s="40" t="n"/>
      <c r="F201" s="40" t="n"/>
    </row>
    <row r="202">
      <c r="A202" t="inlineStr">
        <is>
          <t xml:space="preserve">             "• A4 PDF oluşturma" &amp; vbCrLf &amp; _</t>
        </is>
      </c>
    </row>
    <row r="203">
      <c r="A203" t="inlineStr">
        <is>
          <t xml:space="preserve">             "• PDF'yi Windows panosuna alma" &amp; vbCrLf &amp; _</t>
        </is>
      </c>
    </row>
    <row r="204">
      <c r="A204" t="inlineStr">
        <is>
          <t xml:space="preserve">             "Sürüm: " &amp; MAKRO_SURUMU</t>
        </is>
      </c>
    </row>
    <row r="205">
      <c r="A205" t="inlineStr">
        <is>
          <t xml:space="preserve">    MsgBox sonuc, vbInformation</t>
        </is>
      </c>
    </row>
    <row r="206">
      <c r="A206" t="inlineStr">
        <is>
          <t xml:space="preserve">    Exit Sub</t>
        </is>
      </c>
    </row>
    <row r="207">
      <c r="A207" t="inlineStr">
        <is>
          <t>Hata:</t>
        </is>
      </c>
    </row>
    <row r="208">
      <c r="A208" t="inlineStr">
        <is>
          <t xml:space="preserve">    hataNo = Err.Number: hataAciklama = Err.Description: On Error Resume Next</t>
        </is>
      </c>
    </row>
    <row r="209">
      <c r="A209" t="inlineStr">
        <is>
          <t xml:space="preserve">    ws.Range("A30").Value = eskiA</t>
        </is>
      </c>
    </row>
    <row r="210">
      <c r="A210" t="inlineStr">
        <is>
          <t xml:space="preserve">    ws.Range("I30").Value = eskiI</t>
        </is>
      </c>
    </row>
    <row r="211">
      <c r="A211" t="inlineStr">
        <is>
          <t xml:space="preserve">    ws.Range("J30").Formula = eskiJ</t>
        </is>
      </c>
    </row>
    <row r="212">
      <c r="A212" t="inlineStr">
        <is>
          <t xml:space="preserve">    Application.CalculateFull</t>
        </is>
      </c>
    </row>
    <row r="213">
      <c r="A213" t="inlineStr">
        <is>
          <t xml:space="preserve">    MsgBox "Fonksiyon testi başarısız." &amp; vbCrLf &amp; "Sürüm: " &amp; MAKRO_SURUMU &amp; vbCrLf &amp; "Hata " &amp; hataNo &amp; ": " &amp; hataAciklama, vbExclamation</t>
        </is>
      </c>
    </row>
    <row r="214">
      <c r="A214" t="inlineStr">
        <is>
          <t>End Sub</t>
        </is>
      </c>
    </row>
    <row r="216">
      <c r="A216" t="inlineStr">
        <is>
          <t>Private Function TemizTelefon(ByVal metin As String) As String</t>
        </is>
      </c>
    </row>
    <row r="217">
      <c r="A217" t="inlineStr">
        <is>
          <t xml:space="preserve">    Dim i As Long, ch As String, sonuc As String</t>
        </is>
      </c>
    </row>
    <row r="218">
      <c r="A218" t="inlineStr">
        <is>
          <t xml:space="preserve">    For i = 1 To Len(metin)</t>
        </is>
      </c>
    </row>
    <row r="219">
      <c r="A219" t="inlineStr">
        <is>
          <t xml:space="preserve">        ch = Mid$(metin, i, 1)</t>
        </is>
      </c>
    </row>
    <row r="220">
      <c r="A220" t="inlineStr">
        <is>
          <t xml:space="preserve">        If ch Like "#" Then sonuc = sonuc &amp; ch</t>
        </is>
      </c>
    </row>
    <row r="221">
      <c r="A221" t="inlineStr">
        <is>
          <t xml:space="preserve">    Next i</t>
        </is>
      </c>
    </row>
    <row r="222">
      <c r="A222" t="inlineStr">
        <is>
          <t xml:space="preserve">    If Left$(sonuc, 2) = "05" Then sonuc = "90" &amp; Mid$(sonuc, 2)</t>
        </is>
      </c>
    </row>
    <row r="223">
      <c r="A223" t="inlineStr">
        <is>
          <t xml:space="preserve">    If Len(sonuc) = 10 And Left$(sonuc, 1) = "5" Then sonuc = "90" &amp; sonuc</t>
        </is>
      </c>
    </row>
    <row r="224">
      <c r="A224" t="inlineStr">
        <is>
          <t xml:space="preserve">    TemizTelefon = sonuc</t>
        </is>
      </c>
    </row>
    <row r="225">
      <c r="A225" t="inlineStr">
        <is>
          <t>End Function</t>
        </is>
      </c>
    </row>
    <row r="227">
      <c r="A227" t="inlineStr">
        <is>
          <t>Private Function DosyaAdiTemizle(ByVal metin As String) As String</t>
        </is>
      </c>
    </row>
    <row r="228">
      <c r="A228" t="inlineStr">
        <is>
          <t xml:space="preserve">    Dim yasak As Variant, x As Variant</t>
        </is>
      </c>
    </row>
    <row r="229">
      <c r="A229" t="inlineStr">
        <is>
          <t xml:space="preserve">    If Len(Trim$(metin)) = 0 Then metin = "Numarasiz"</t>
        </is>
      </c>
    </row>
    <row r="230">
      <c r="A230" t="inlineStr">
        <is>
          <t xml:space="preserve">    yasak = Array("\", "/", ":", "*", "?", Chr$(34), "&lt;", "&gt;", "|")</t>
        </is>
      </c>
    </row>
    <row r="231">
      <c r="A231" t="inlineStr">
        <is>
          <t xml:space="preserve">    For Each x In yasak</t>
        </is>
      </c>
    </row>
    <row r="232">
      <c r="A232" t="inlineStr">
        <is>
          <t xml:space="preserve">        metin = Replace(metin, CStr(x), "-")</t>
        </is>
      </c>
    </row>
    <row r="233">
      <c r="A233" t="inlineStr">
        <is>
          <t xml:space="preserve">    Next x</t>
        </is>
      </c>
    </row>
    <row r="234">
      <c r="A234" t="inlineStr">
        <is>
          <t xml:space="preserve">    DosyaAdiTemizle = Trim$(metin)</t>
        </is>
      </c>
    </row>
    <row r="235">
      <c r="A235" t="inlineStr">
        <is>
          <t>End Function</t>
        </is>
      </c>
    </row>
    <row r="238">
      <c r="A238" t="inlineStr">
        <is>
          <t>WHATSAPP PDF — KESİN KURULUM (v3)</t>
        </is>
      </c>
    </row>
    <row r="239">
      <c r="A239" t="inlineStr">
        <is>
          <t>1) VBA düzenleyicisinde ESKİ WhatsApp modülünün tamamını silin; A88:A235 aralığındaki kodu boş standart modüle yapıştırın.</t>
        </is>
      </c>
    </row>
    <row r="240">
      <c r="A240" t="inlineStr">
        <is>
          <t>2) Hata Ayıklama &gt; VBAProject Derle komutunu çalıştırın.</t>
        </is>
      </c>
    </row>
    <row r="241">
      <c r="A241" t="inlineStr">
        <is>
          <t>3) Önce TumFonksiyonlariTestEt makrosunu çalıştırın; 'Tüm testler başarılı' mesajını görmeden gönderim makrosunu kullanmayın.</t>
        </is>
      </c>
    </row>
    <row r="242">
      <c r="A242" t="inlineStr">
        <is>
          <t>4) Sonra TeklifiWhatsAppPDFGonder makrosunu çalıştırın. Açılan pencerede sürüm 2026.09.27-v3 görünmelidir.</t>
        </is>
      </c>
    </row>
    <row r="243">
      <c r="A243" t="inlineStr">
        <is>
          <t>ÖNEMLİ: Hata penceresinde sürüm görünmüyorsa eski modül çalışıyordur; yeni kod henüz gerçek VBA modülüne aktarılmamıştır.</t>
        </is>
      </c>
    </row>
    <row r="247" ht="18.75" customHeight="1" s="164">
      <c r="A247" s="219" t="inlineStr">
        <is>
          <t>MAKRO DÜZELTME VE TEST RAPORU — v3</t>
        </is>
      </c>
    </row>
    <row r="248">
      <c r="A248" s="20" t="inlineStr">
        <is>
          <t>Kontrol</t>
        </is>
      </c>
      <c r="B248" s="20" t="inlineStr">
        <is>
          <t>Sonuç</t>
        </is>
      </c>
      <c r="C248" s="20" t="inlineStr">
        <is>
          <t>Açıklama</t>
        </is>
      </c>
      <c r="D248" s="20" t="n"/>
      <c r="E248" s="20" t="n"/>
      <c r="F248" s="20" t="n"/>
    </row>
    <row r="249">
      <c r="A249" s="24" t="inlineStr">
        <is>
          <t>Kök neden</t>
        </is>
      </c>
      <c r="B249" s="21" t="inlineStr">
        <is>
          <t>DÜZELTİLDİ</t>
        </is>
      </c>
      <c r="C249" s="181" t="inlineStr">
        <is>
          <t>Ekran görüntüsü eski modülün çalıştığını gösteriyor; Shell.Namespace yöntemi kaldırıldı.</t>
        </is>
      </c>
    </row>
    <row r="250">
      <c r="A250" s="24" t="inlineStr">
        <is>
          <t>Yeni pano yöntemi</t>
        </is>
      </c>
      <c r="B250" s="21" t="inlineStr">
        <is>
          <t>HAZIR</t>
        </is>
      </c>
      <c r="C250" s="181" t="inlineStr">
        <is>
          <t>PDF, STA PowerShell ile Windows FileDropList biçiminde panoya alınır.</t>
        </is>
      </c>
    </row>
    <row r="251">
      <c r="A251" s="24" t="inlineStr">
        <is>
          <t>VBA yapısal testleri</t>
        </is>
      </c>
      <c r="B251" s="21" t="inlineStr">
        <is>
          <t>BAŞARILI</t>
        </is>
      </c>
      <c r="C251" s="181" t="inlineStr">
        <is>
          <t>5 prosedür; Sub/Function/For/With ve tırnak dengeleri doğru, yinelenen ad yok.</t>
        </is>
      </c>
    </row>
    <row r="252">
      <c r="A252" s="24" t="inlineStr">
        <is>
          <t>Ürün formülleri</t>
        </is>
      </c>
      <c r="B252" s="21" t="inlineStr">
        <is>
          <t>10/10 BAŞARILI</t>
        </is>
      </c>
      <c r="C252" s="181" t="inlineStr">
        <is>
          <t>Tüm ürünlerde BAR, gaz, toplam ve KDV hesapları çalıştı; test satırı geri yüklendi.</t>
        </is>
      </c>
    </row>
    <row r="253">
      <c r="A253" s="24" t="inlineStr">
        <is>
          <t>Kur formülleri</t>
        </is>
      </c>
      <c r="B253" s="21" t="inlineStr">
        <is>
          <t>4/4 BAŞARILI</t>
        </is>
      </c>
      <c r="C253" s="181" t="inlineStr">
        <is>
          <t>TRY, USD, EUR ve GBP aramaları ve TL dönüşümleri doğrulandı.</t>
        </is>
      </c>
    </row>
    <row r="254">
      <c r="A254" s="24" t="inlineStr">
        <is>
          <t>Çalışma kitabı formülleri</t>
        </is>
      </c>
      <c r="B254" s="21" t="inlineStr">
        <is>
          <t>BAŞARILI</t>
        </is>
      </c>
      <c r="C254" s="181" t="inlineStr">
        <is>
          <t>Beş sayfada görünür formül hatası yok; genel toplam 125.812,25 TL.</t>
        </is>
      </c>
    </row>
    <row r="255">
      <c r="A255" s="24" t="inlineStr">
        <is>
          <t>Grafik ve görseller</t>
        </is>
      </c>
      <c r="B255" s="21" t="inlineStr">
        <is>
          <t>BAŞARILI</t>
        </is>
      </c>
      <c r="C255" s="181" t="inlineStr">
        <is>
          <t>Analiz grafiği ile logo ve kaşe/imza nesneleri mevcut.</t>
        </is>
      </c>
    </row>
    <row r="256">
      <c r="A256" s="24" t="inlineStr">
        <is>
          <t>A4 baskı</t>
        </is>
      </c>
      <c r="B256" s="21" t="inlineStr">
        <is>
          <t>BAŞARILI</t>
        </is>
      </c>
      <c r="C256" s="181" t="inlineStr">
        <is>
          <t>Teklif Formu A4 dikey, 1×1 sayfaya sığdırılmış.</t>
        </is>
      </c>
    </row>
    <row r="257">
      <c r="A257" s="24" t="inlineStr">
        <is>
          <t>Windows canlı testi</t>
        </is>
      </c>
      <c r="B257" s="21" t="inlineStr">
        <is>
          <t>KULLANICI BİLGİSAYARINDA</t>
        </is>
      </c>
      <c r="C257" s="181" t="inlineStr">
        <is>
          <t>Eski VBA modülünü silip A88:A235 kodunu yapıştırın; TumFonksiyonlariTestEtV5 çalıştırın.</t>
        </is>
      </c>
    </row>
    <row r="258">
      <c r="A258" s="24" t="inlineStr">
        <is>
          <t>Sürüm doğrulaması</t>
        </is>
      </c>
      <c r="B258" s="242" t="inlineStr">
        <is>
          <t>ZORUNLU</t>
        </is>
      </c>
      <c r="C258" s="181" t="inlineStr">
        <is>
          <t>Açılan pencerede 2026.09.27-v3 görünmüyorsa eski makro çalışıyordur.</t>
        </is>
      </c>
    </row>
    <row r="262">
      <c r="A262" t="inlineStr">
        <is>
          <t>Option Explicit</t>
        </is>
      </c>
    </row>
    <row r="264">
      <c r="A264" t="inlineStr">
        <is>
          <t>Private Const PDF_SURUMU As String = "2026.09.27-v2"</t>
        </is>
      </c>
    </row>
    <row r="266">
      <c r="A266" t="inlineStr">
        <is>
          <t>Public Sub TeklifiMasaustunePDFKaydetV2()</t>
        </is>
      </c>
    </row>
    <row r="267">
      <c r="A267" t="inlineStr">
        <is>
          <t xml:space="preserve">    On Error GoTo Hata</t>
        </is>
      </c>
    </row>
    <row r="268">
      <c r="A268" t="inlineStr">
        <is>
          <t xml:space="preserve">    Dim ws As Worksheet, klasor As String, altKlasor As String</t>
        </is>
      </c>
    </row>
    <row r="269">
      <c r="A269" t="inlineStr">
        <is>
          <t xml:space="preserve">    Dim teklifNo As String, dosya As String, tamYol As String</t>
        </is>
      </c>
    </row>
    <row r="270">
      <c r="A270" t="inlineStr">
        <is>
          <t xml:space="preserve">    Dim kabuk As Object</t>
        </is>
      </c>
    </row>
    <row r="272">
      <c r="A272" t="inlineStr">
        <is>
          <t xml:space="preserve">    Set ws = ThisWorkbook.Worksheets("Teklif Formu")</t>
        </is>
      </c>
    </row>
    <row r="273">
      <c r="A273" t="inlineStr">
        <is>
          <t xml:space="preserve">    Set kabuk = CreateObject("WScript.Shell")</t>
        </is>
      </c>
    </row>
    <row r="274">
      <c r="A274" t="inlineStr">
        <is>
          <t xml:space="preserve">    If kabuk Is Nothing Then Err.Raise vbObjectError + 301, , "Masaüstü yolu alınamadı."</t>
        </is>
      </c>
    </row>
    <row r="275">
      <c r="A275" t="inlineStr">
        <is>
          <t xml:space="preserve">    klasor = kabuk.SpecialFolders("Desktop") &amp; "\Teklifler"</t>
        </is>
      </c>
    </row>
    <row r="276">
      <c r="A276" t="inlineStr">
        <is>
          <t xml:space="preserve">    altKlasor = klasor &amp; "\PDF"</t>
        </is>
      </c>
    </row>
    <row r="277">
      <c r="A277" t="inlineStr">
        <is>
          <t xml:space="preserve">    KlasorOlusturPDFV2 klasor</t>
        </is>
      </c>
    </row>
    <row r="278">
      <c r="A278" t="inlineStr">
        <is>
          <t xml:space="preserve">    KlasorOlusturPDFV2 altKlasor</t>
        </is>
      </c>
    </row>
    <row r="280">
      <c r="A280" t="inlineStr">
        <is>
          <t xml:space="preserve">    teklifNo = PDFDosyaAdiTemizleV2(CStr(ws.Range("J3").Text))</t>
        </is>
      </c>
    </row>
    <row r="281">
      <c r="A281" t="inlineStr">
        <is>
          <t xml:space="preserve">    If Len(teklifNo) = 0 Then teklifNo = "Numarasiz"</t>
        </is>
      </c>
    </row>
    <row r="282">
      <c r="A282" t="inlineStr">
        <is>
          <t xml:space="preserve">    dosya = "Teklif_" &amp; teklifNo &amp; "_" &amp; Format(Now, "yyyymmdd_hhnnss") &amp; ".pdf"</t>
        </is>
      </c>
    </row>
    <row r="283">
      <c r="A283" t="inlineStr">
        <is>
          <t xml:space="preserve">    tamYol = altKlasor &amp; "\" &amp; dosya</t>
        </is>
      </c>
    </row>
    <row r="285">
      <c r="A285" t="inlineStr">
        <is>
          <t xml:space="preserve">    With ws.PageSetup</t>
        </is>
      </c>
    </row>
    <row r="286">
      <c r="A286" t="inlineStr">
        <is>
          <t xml:space="preserve">        .PrintArea = "$A$1:$K$40"</t>
        </is>
      </c>
    </row>
    <row r="287">
      <c r="A287" t="inlineStr">
        <is>
          <t xml:space="preserve">        .Orientation = xlPortrait</t>
        </is>
      </c>
    </row>
    <row r="288">
      <c r="A288" t="inlineStr">
        <is>
          <t xml:space="preserve">        .PaperSize = xlPaperA4</t>
        </is>
      </c>
    </row>
    <row r="289">
      <c r="A289" t="inlineStr">
        <is>
          <t xml:space="preserve">        .Zoom = False</t>
        </is>
      </c>
    </row>
    <row r="290">
      <c r="A290" t="inlineStr">
        <is>
          <t xml:space="preserve">        .FitToPagesWide = 1</t>
        </is>
      </c>
    </row>
    <row r="291">
      <c r="A291" t="inlineStr">
        <is>
          <t xml:space="preserve">        .FitToPagesTall = 1</t>
        </is>
      </c>
    </row>
    <row r="292">
      <c r="A292" t="inlineStr">
        <is>
          <t xml:space="preserve">        .CenterHorizontally = True</t>
        </is>
      </c>
    </row>
    <row r="293">
      <c r="A293" t="inlineStr">
        <is>
          <t xml:space="preserve">    End With</t>
        </is>
      </c>
    </row>
    <row r="295">
      <c r="A295" t="inlineStr">
        <is>
          <t xml:space="preserve">    ws.ExportAsFixedFormat Type:=xlTypePDF, FileName:=tamYol, Quality:=xlQualityStandard, IncludeDocProperties:=True, IgnorePrintAreas:=False, OpenAfterPublish:=False</t>
        </is>
      </c>
    </row>
    <row r="296">
      <c r="A296" t="inlineStr">
        <is>
          <t xml:space="preserve">    If Len(Dir$(tamYol)) = 0 Then Err.Raise vbObjectError + 302, , "PDF dosyası oluşturulamadı."</t>
        </is>
      </c>
    </row>
    <row r="297">
      <c r="A297" t="inlineStr">
        <is>
          <t xml:space="preserve">    kabuk.Run "explorer.exe /select,""" &amp; tamYol &amp; """", 1, False</t>
        </is>
      </c>
    </row>
    <row r="298">
      <c r="A298" t="inlineStr">
        <is>
          <t xml:space="preserve">    MsgBox "Teklif PDF olarak kaydedildi." &amp; vbCrLf &amp; "Sürüm: " &amp; PDF_SURUMU &amp; vbCrLf &amp; tamYol, vbInformation</t>
        </is>
      </c>
    </row>
    <row r="299">
      <c r="A299" t="inlineStr">
        <is>
          <t xml:space="preserve">    Exit Sub</t>
        </is>
      </c>
    </row>
    <row r="300">
      <c r="A300" t="inlineStr">
        <is>
          <t>Hata:</t>
        </is>
      </c>
    </row>
    <row r="301">
      <c r="A301" t="inlineStr">
        <is>
          <t xml:space="preserve">    MsgBox "PDF kaydedilemedi." &amp; vbCrLf &amp; "Hata " &amp; Err.Number &amp; ": " &amp; Err.Description, vbExclamation</t>
        </is>
      </c>
    </row>
    <row r="302">
      <c r="A302" t="inlineStr">
        <is>
          <t>End Sub</t>
        </is>
      </c>
    </row>
    <row r="304">
      <c r="A304" t="inlineStr">
        <is>
          <t>Public Sub PDFDugmesiniBaglaV2()</t>
        </is>
      </c>
    </row>
    <row r="305">
      <c r="A305" t="inlineStr">
        <is>
          <t xml:space="preserve">    On Error GoTo Hata</t>
        </is>
      </c>
    </row>
    <row r="306">
      <c r="A306" t="inlineStr">
        <is>
          <t xml:space="preserve">    ThisWorkbook.Worksheets("PDF Kaydet").Shapes("PDF Kaydet Düğmesi").OnAction = "'" &amp; ThisWorkbook.Name &amp; "'!TeklifiMasaustunePDFKaydetV2"</t>
        </is>
      </c>
    </row>
    <row r="307">
      <c r="A307" t="inlineStr">
        <is>
          <t xml:space="preserve">    MsgBox "PDF Kaydet düğmesi hazır.", vbInformation</t>
        </is>
      </c>
    </row>
    <row r="308">
      <c r="A308" t="inlineStr">
        <is>
          <t xml:space="preserve">    Exit Sub</t>
        </is>
      </c>
    </row>
    <row r="309">
      <c r="A309" t="inlineStr">
        <is>
          <t>Hata:</t>
        </is>
      </c>
    </row>
    <row r="310">
      <c r="A310" t="inlineStr">
        <is>
          <t xml:space="preserve">    MsgBox "Düğme bağlanamadı: " &amp; Err.Description, vbExclamation</t>
        </is>
      </c>
    </row>
    <row r="311">
      <c r="A311" t="inlineStr">
        <is>
          <t>End Sub</t>
        </is>
      </c>
    </row>
    <row r="313">
      <c r="A313" t="inlineStr">
        <is>
          <t>Public Sub PDFKaydetTestiV2()</t>
        </is>
      </c>
    </row>
    <row r="314">
      <c r="A314" t="inlineStr">
        <is>
          <t xml:space="preserve">    On Error GoTo Hata</t>
        </is>
      </c>
    </row>
    <row r="315">
      <c r="A315" t="inlineStr">
        <is>
          <t xml:space="preserve">    Dim ws As Worksheet, kabuk As Object, klasor As String, tamYol As String</t>
        </is>
      </c>
    </row>
    <row r="316">
      <c r="A316" t="inlineStr">
        <is>
          <t xml:space="preserve">    Set ws = ThisWorkbook.Worksheets("Teklif Formu")</t>
        </is>
      </c>
    </row>
    <row r="317">
      <c r="A317" t="inlineStr">
        <is>
          <t xml:space="preserve">    Set kabuk = CreateObject("WScript.Shell")</t>
        </is>
      </c>
    </row>
    <row r="318">
      <c r="A318" t="inlineStr">
        <is>
          <t xml:space="preserve">    If kabuk Is Nothing Then Err.Raise vbObjectError + 303, , "Masaüstü yolu alınamadı."</t>
        </is>
      </c>
    </row>
    <row r="319">
      <c r="A319" t="inlineStr">
        <is>
          <t xml:space="preserve">    KlasorOlusturPDFV2 kabuk.SpecialFolders("Desktop") &amp; "\Teklifler"</t>
        </is>
      </c>
    </row>
    <row r="320">
      <c r="A320" t="inlineStr">
        <is>
          <t xml:space="preserve">    klasor = kabuk.SpecialFolders("Desktop") &amp; "\Teklifler\PDF"</t>
        </is>
      </c>
    </row>
    <row r="321">
      <c r="A321" t="inlineStr">
        <is>
          <t xml:space="preserve">    KlasorOlusturPDFV2 klasor</t>
        </is>
      </c>
    </row>
    <row r="322">
      <c r="A322" t="inlineStr">
        <is>
          <t xml:space="preserve">    tamYol = klasor &amp; "\Teklif_TEST_" &amp; Format(Now, "yyyymmdd_hhnnss") &amp; ".pdf"</t>
        </is>
      </c>
    </row>
    <row r="323">
      <c r="A323" t="inlineStr">
        <is>
          <t xml:space="preserve">    ws.ExportAsFixedFormat Type:=xlTypePDF, FileName:=tamYol, Quality:=xlQualityStandard, IncludeDocProperties:=True, IgnorePrintAreas:=False, OpenAfterPublish:=False</t>
        </is>
      </c>
    </row>
    <row r="324">
      <c r="A324" t="inlineStr">
        <is>
          <t xml:space="preserve">    If Len(Dir$(tamYol)) = 0 Then Err.Raise vbObjectError + 304, , "Test PDF oluşturulamadı."</t>
        </is>
      </c>
    </row>
    <row r="325">
      <c r="A325" t="inlineStr">
        <is>
          <t xml:space="preserve">    kabuk.Run "explorer.exe """ &amp; klasor &amp; """", 1, False</t>
        </is>
      </c>
    </row>
    <row r="326">
      <c r="A326" t="inlineStr">
        <is>
          <t xml:space="preserve">    MsgBox "PDF kayıt testi başarılı." &amp; vbCrLf &amp; tamYol, vbInformation</t>
        </is>
      </c>
    </row>
    <row r="327">
      <c r="A327" t="inlineStr">
        <is>
          <t xml:space="preserve">    Exit Sub</t>
        </is>
      </c>
    </row>
    <row r="328">
      <c r="A328" t="inlineStr">
        <is>
          <t>Hata:</t>
        </is>
      </c>
    </row>
    <row r="329">
      <c r="A329" t="inlineStr">
        <is>
          <t xml:space="preserve">    MsgBox "PDF kayıt testi başarısız. Hata " &amp; Err.Number &amp; ": " &amp; Err.Description, vbExclamation</t>
        </is>
      </c>
    </row>
    <row r="330">
      <c r="A330" t="inlineStr">
        <is>
          <t>End Sub</t>
        </is>
      </c>
    </row>
    <row r="332">
      <c r="A332" t="inlineStr">
        <is>
          <t>Private Sub KlasorOlusturPDFV2(ByVal yol As String)</t>
        </is>
      </c>
    </row>
    <row r="333">
      <c r="A333" t="inlineStr">
        <is>
          <t xml:space="preserve">    If Len(Dir$(yol, vbDirectory)) = 0 Then MkDir yol</t>
        </is>
      </c>
    </row>
    <row r="334">
      <c r="A334" t="inlineStr">
        <is>
          <t>End Sub</t>
        </is>
      </c>
    </row>
    <row r="336">
      <c r="A336" t="inlineStr">
        <is>
          <t>Private Function PDFDosyaAdiTemizleV2(ByVal metin As String) As String</t>
        </is>
      </c>
    </row>
    <row r="337">
      <c r="A337" t="inlineStr">
        <is>
          <t xml:space="preserve">    Dim yasak As Variant, x As Variant</t>
        </is>
      </c>
    </row>
    <row r="338">
      <c r="A338" t="inlineStr">
        <is>
          <t xml:space="preserve">    yasak = Array("\", "/", ":", "*", "?", Chr$(34), "&lt;", "&gt;", "|")</t>
        </is>
      </c>
    </row>
    <row r="339">
      <c r="A339" t="inlineStr">
        <is>
          <t xml:space="preserve">    For Each x In yasak</t>
        </is>
      </c>
    </row>
    <row r="340">
      <c r="A340" t="inlineStr">
        <is>
          <t xml:space="preserve">        metin = Replace(metin, CStr(x), "-")</t>
        </is>
      </c>
    </row>
    <row r="341">
      <c r="A341" t="inlineStr">
        <is>
          <t xml:space="preserve">    Next x</t>
        </is>
      </c>
    </row>
    <row r="342">
      <c r="A342" t="inlineStr">
        <is>
          <t xml:space="preserve">    PDFDosyaAdiTemizleV2 = Trim$(metin)</t>
        </is>
      </c>
    </row>
    <row r="343">
      <c r="A343" t="inlineStr">
        <is>
          <t>End Function</t>
        </is>
      </c>
    </row>
    <row r="344">
      <c r="A344" s="182" t="n"/>
      <c r="B344" s="182" t="n"/>
      <c r="C344" s="182" t="n"/>
      <c r="D344" s="182" t="n"/>
      <c r="E344" s="182" t="n"/>
      <c r="F344" s="182" t="n"/>
    </row>
    <row r="345">
      <c r="A345" s="182" t="inlineStr">
        <is>
          <t>PDF KAYDET MAKROSU — KURULUM v2</t>
        </is>
      </c>
    </row>
    <row r="346">
      <c r="A346" t="inlineStr">
        <is>
          <t>A262:A343 güncel kodunu PDF makro modülündeki eski kodun tamamıyla değiştirin; sonra PDFDugmesiniBaglaV2 ve PDFKaydetTestiV2 makrolarını çalıştırın.</t>
        </is>
      </c>
    </row>
    <row r="350">
      <c r="A350" t="inlineStr">
        <is>
          <t>Option Explicit</t>
        </is>
      </c>
    </row>
    <row r="352">
      <c r="A352" t="inlineStr">
        <is>
          <t>Private Const OUTLOOK_PDF_SURUMU As String = "2026.09.27-v1"</t>
        </is>
      </c>
    </row>
    <row r="354">
      <c r="A354" t="inlineStr">
        <is>
          <t>Public Sub TeklifiOutlookPDFTaslakV1()</t>
        </is>
      </c>
    </row>
    <row r="355">
      <c r="A355" t="inlineStr">
        <is>
          <t xml:space="preserve">    On Error GoTo Hata</t>
        </is>
      </c>
    </row>
    <row r="356">
      <c r="A356" t="inlineStr">
        <is>
          <t xml:space="preserve">    Dim ws As Worksheet, kabuk As Object, outlookApp As Object, posta As Object</t>
        </is>
      </c>
    </row>
    <row r="357">
      <c r="A357" t="inlineStr">
        <is>
          <t xml:space="preserve">    Dim klasor As String, pdfKlasor As String, teklifNo As String</t>
        </is>
      </c>
    </row>
    <row r="358">
      <c r="A358" t="inlineStr">
        <is>
          <t xml:space="preserve">    Dim dosya As String, tamYol As String, asama As String</t>
        </is>
      </c>
    </row>
    <row r="360">
      <c r="A360" t="inlineStr">
        <is>
          <t xml:space="preserve">    asama = "Teklif sayfası hazırlanıyor"</t>
        </is>
      </c>
    </row>
    <row r="361">
      <c r="A361" t="inlineStr">
        <is>
          <t xml:space="preserve">    Set ws = ThisWorkbook.Worksheets("Teklif Formu")</t>
        </is>
      </c>
    </row>
    <row r="362">
      <c r="A362" t="inlineStr">
        <is>
          <t xml:space="preserve">    Set kabuk = CreateObject("WScript.Shell")</t>
        </is>
      </c>
    </row>
    <row r="363">
      <c r="A363" t="inlineStr">
        <is>
          <t xml:space="preserve">    If kabuk Is Nothing Then Err.Raise vbObjectError + 401, , "Masaüstü yolu alınamadı."</t>
        </is>
      </c>
    </row>
    <row r="364">
      <c r="A364" t="inlineStr">
        <is>
          <t xml:space="preserve">    klasor = kabuk.SpecialFolders("Desktop") &amp; "\Teklifler"</t>
        </is>
      </c>
    </row>
    <row r="365">
      <c r="A365" t="inlineStr">
        <is>
          <t xml:space="preserve">    pdfKlasor = klasor &amp; "\PDF"</t>
        </is>
      </c>
    </row>
    <row r="366">
      <c r="A366" t="inlineStr">
        <is>
          <t xml:space="preserve">    OutlookKlasorOlusturV1 klasor</t>
        </is>
      </c>
    </row>
    <row r="367">
      <c r="A367" t="inlineStr">
        <is>
          <t xml:space="preserve">    OutlookKlasorOlusturV1 pdfKlasor</t>
        </is>
      </c>
    </row>
    <row r="369">
      <c r="A369" t="inlineStr">
        <is>
          <t xml:space="preserve">    teklifNo = OutlookDosyaAdiTemizleV1(CStr(ws.Range("J3").Text))</t>
        </is>
      </c>
    </row>
    <row r="370">
      <c r="A370" t="inlineStr">
        <is>
          <t xml:space="preserve">    If Len(teklifNo) = 0 Then teklifNo = "Numarasiz"</t>
        </is>
      </c>
    </row>
    <row r="371">
      <c r="A371" t="inlineStr">
        <is>
          <t xml:space="preserve">    dosya = "Teklif_" &amp; teklifNo &amp; "_" &amp; Format(Now, "yyyymmdd_hhnnss") &amp; ".pdf"</t>
        </is>
      </c>
    </row>
    <row r="372">
      <c r="A372" t="inlineStr">
        <is>
          <t xml:space="preserve">    tamYol = pdfKlasor &amp; "\" &amp; dosya</t>
        </is>
      </c>
    </row>
    <row r="374">
      <c r="A374" t="inlineStr">
        <is>
          <t xml:space="preserve">    asama = "A4 PDF oluşturuluyor"</t>
        </is>
      </c>
    </row>
    <row r="375">
      <c r="A375" t="inlineStr">
        <is>
          <t xml:space="preserve">    With ws.PageSetup</t>
        </is>
      </c>
    </row>
    <row r="376">
      <c r="A376" t="inlineStr">
        <is>
          <t xml:space="preserve">        .PrintArea = "$A$1:$K$40"</t>
        </is>
      </c>
    </row>
    <row r="377">
      <c r="A377" t="inlineStr">
        <is>
          <t xml:space="preserve">        .Orientation = xlPortrait</t>
        </is>
      </c>
    </row>
    <row r="378">
      <c r="A378" t="inlineStr">
        <is>
          <t xml:space="preserve">        .PaperSize = xlPaperA4</t>
        </is>
      </c>
    </row>
    <row r="379">
      <c r="A379" t="inlineStr">
        <is>
          <t xml:space="preserve">        .Zoom = False</t>
        </is>
      </c>
    </row>
    <row r="380">
      <c r="A380" t="inlineStr">
        <is>
          <t xml:space="preserve">        .FitToPagesWide = 1</t>
        </is>
      </c>
    </row>
    <row r="381">
      <c r="A381" t="inlineStr">
        <is>
          <t xml:space="preserve">        .FitToPagesTall = 1</t>
        </is>
      </c>
    </row>
    <row r="382">
      <c r="A382" t="inlineStr">
        <is>
          <t xml:space="preserve">        .CenterHorizontally = True</t>
        </is>
      </c>
    </row>
    <row r="383">
      <c r="A383" t="inlineStr">
        <is>
          <t xml:space="preserve">    End With</t>
        </is>
      </c>
    </row>
    <row r="384">
      <c r="A384" t="inlineStr">
        <is>
          <t xml:space="preserve">    ws.ExportAsFixedFormat Type:=xlTypePDF, FileName:=tamYol, Quality:=xlQualityStandard, IncludeDocProperties:=True, IgnorePrintAreas:=False, OpenAfterPublish:=False</t>
        </is>
      </c>
    </row>
    <row r="385">
      <c r="A385" t="inlineStr">
        <is>
          <t xml:space="preserve">    If Len(Dir$(tamYol)) = 0 Then Err.Raise vbObjectError + 402, , "PDF oluşturulamadı."</t>
        </is>
      </c>
    </row>
    <row r="387">
      <c r="A387" t="inlineStr">
        <is>
          <t xml:space="preserve">    asama = "Klasik Outlook açılıyor"</t>
        </is>
      </c>
    </row>
    <row r="388">
      <c r="A388" t="inlineStr">
        <is>
          <t xml:space="preserve">    On Error Resume Next</t>
        </is>
      </c>
    </row>
    <row r="389">
      <c r="A389" t="inlineStr">
        <is>
          <t xml:space="preserve">    Set outlookApp = GetObject(, "Outlook.Application")</t>
        </is>
      </c>
    </row>
    <row r="390">
      <c r="A390" t="inlineStr">
        <is>
          <t xml:space="preserve">    If outlookApp Is Nothing Then Set outlookApp = CreateObject("Outlook.Application")</t>
        </is>
      </c>
    </row>
    <row r="391">
      <c r="A391" t="inlineStr">
        <is>
          <t xml:space="preserve">    On Error GoTo Hata</t>
        </is>
      </c>
    </row>
    <row r="392">
      <c r="A392" t="inlineStr">
        <is>
          <t xml:space="preserve">    If outlookApp Is Nothing Then Err.Raise vbObjectError + 403, , "Klasik Outlook başlatılamadı. Yeni Outlook kullanıyorsanız Klasik Outlook'a geçin."</t>
        </is>
      </c>
    </row>
    <row r="394">
      <c r="A394" t="inlineStr">
        <is>
          <t xml:space="preserve">    asama = "Yeni e-posta hazırlanıyor"</t>
        </is>
      </c>
    </row>
    <row r="395">
      <c r="A395" t="inlineStr">
        <is>
          <t xml:space="preserve">    Set posta = outlookApp.CreateItem(0)</t>
        </is>
      </c>
    </row>
    <row r="396">
      <c r="A396" t="inlineStr">
        <is>
          <t xml:space="preserve">    If posta Is Nothing Then Err.Raise vbObjectError + 404, , "Yeni e-posta oluşturulamadı."</t>
        </is>
      </c>
    </row>
    <row r="397">
      <c r="A397" t="inlineStr">
        <is>
          <t xml:space="preserve">    posta.To = ""</t>
        </is>
      </c>
    </row>
    <row r="398">
      <c r="A398" t="inlineStr">
        <is>
          <t xml:space="preserve">    posta.CC = ""</t>
        </is>
      </c>
    </row>
    <row r="399">
      <c r="A399" t="inlineStr">
        <is>
          <t xml:space="preserve">    posta.BCC = ""</t>
        </is>
      </c>
    </row>
    <row r="400">
      <c r="A400" t="inlineStr">
        <is>
          <t xml:space="preserve">    posta.Subject = ""</t>
        </is>
      </c>
    </row>
    <row r="401">
      <c r="A401" t="inlineStr">
        <is>
          <t xml:space="preserve">    posta.Body = ""</t>
        </is>
      </c>
    </row>
    <row r="402">
      <c r="A402" t="inlineStr">
        <is>
          <t xml:space="preserve">    posta.Save</t>
        </is>
      </c>
    </row>
    <row r="403">
      <c r="A403" t="inlineStr">
        <is>
          <t xml:space="preserve">    posta.Attachments.Add tamYol, 1</t>
        </is>
      </c>
    </row>
    <row r="404">
      <c r="A404" t="inlineStr">
        <is>
          <t xml:space="preserve">    posta.Save</t>
        </is>
      </c>
    </row>
    <row r="405">
      <c r="A405" t="inlineStr">
        <is>
          <t xml:space="preserve">    posta.Display</t>
        </is>
      </c>
    </row>
    <row r="406">
      <c r="A406" t="inlineStr">
        <is>
          <t xml:space="preserve">    SetForegroundWindowOutlookV1 posta</t>
        </is>
      </c>
    </row>
    <row r="407">
      <c r="A407" t="inlineStr">
        <is>
          <t xml:space="preserve">    Exit Sub</t>
        </is>
      </c>
    </row>
    <row r="408">
      <c r="A408" t="inlineStr">
        <is>
          <t>Hata:</t>
        </is>
      </c>
    </row>
    <row r="409">
      <c r="A409" t="inlineStr">
        <is>
          <t xml:space="preserve">    MsgBox "Outlook PDF işlemi tamamlanamadı." &amp; vbCrLf &amp; "Sürüm: " &amp; OUTLOOK_PDF_SURUMU &amp; vbCrLf &amp; "Aşama: " &amp; asama &amp; vbCrLf &amp; "Hata " &amp; Err.Number &amp; ": " &amp; Err.Description, vbExclamation</t>
        </is>
      </c>
    </row>
    <row r="410">
      <c r="A410" t="inlineStr">
        <is>
          <t>End Sub</t>
        </is>
      </c>
    </row>
    <row r="412">
      <c r="A412" t="inlineStr">
        <is>
          <t>Public Sub OutlookDugmesiniBaglaV1()</t>
        </is>
      </c>
    </row>
    <row r="413">
      <c r="A413" t="inlineStr">
        <is>
          <t xml:space="preserve">    On Error GoTo Hata</t>
        </is>
      </c>
    </row>
    <row r="414">
      <c r="A414" t="inlineStr">
        <is>
          <t xml:space="preserve">    ThisWorkbook.Worksheets("Outlook E-posta").Shapes("Outlook PDF Düğmesi").OnAction = "'" &amp; ThisWorkbook.Name &amp; "'!TeklifiOutlookPDFTaslakV1"</t>
        </is>
      </c>
    </row>
    <row r="415">
      <c r="A415" t="inlineStr">
        <is>
          <t xml:space="preserve">    MsgBox "Outlook PDF düğmesi hazır.", vbInformation</t>
        </is>
      </c>
    </row>
    <row r="416">
      <c r="A416" t="inlineStr">
        <is>
          <t xml:space="preserve">    Exit Sub</t>
        </is>
      </c>
    </row>
    <row r="417">
      <c r="A417" t="inlineStr">
        <is>
          <t>Hata:</t>
        </is>
      </c>
    </row>
    <row r="418">
      <c r="A418" t="inlineStr">
        <is>
          <t xml:space="preserve">    MsgBox "Outlook düğmesi bağlanamadı: " &amp; Err.Description, vbExclamation</t>
        </is>
      </c>
    </row>
    <row r="419">
      <c r="A419" t="inlineStr">
        <is>
          <t>End Sub</t>
        </is>
      </c>
    </row>
    <row r="421">
      <c r="A421" t="inlineStr">
        <is>
          <t>Public Sub OutlookPDFTestiV1()</t>
        </is>
      </c>
    </row>
    <row r="422">
      <c r="A422" t="inlineStr">
        <is>
          <t xml:space="preserve">    TeklifiOutlookPDFTaslakV1</t>
        </is>
      </c>
    </row>
    <row r="423">
      <c r="A423" t="inlineStr">
        <is>
          <t>End Sub</t>
        </is>
      </c>
    </row>
    <row r="425">
      <c r="A425" t="inlineStr">
        <is>
          <t>Private Sub OutlookKlasorOlusturV1(ByVal yol As String)</t>
        </is>
      </c>
    </row>
    <row r="426">
      <c r="A426" t="inlineStr">
        <is>
          <t xml:space="preserve">    If Len(Dir$(yol, vbDirectory)) = 0 Then MkDir yol</t>
        </is>
      </c>
    </row>
    <row r="427">
      <c r="A427" t="inlineStr">
        <is>
          <t>End Sub</t>
        </is>
      </c>
    </row>
    <row r="429">
      <c r="A429" t="inlineStr">
        <is>
          <t>Private Function OutlookDosyaAdiTemizleV1(ByVal metin As String) As String</t>
        </is>
      </c>
    </row>
    <row r="430">
      <c r="A430" t="inlineStr">
        <is>
          <t xml:space="preserve">    Dim yasak As Variant, x As Variant</t>
        </is>
      </c>
    </row>
    <row r="431">
      <c r="A431" t="inlineStr">
        <is>
          <t xml:space="preserve">    yasak = Array("\", "/", ":", "*", "?", Chr$(34), "&lt;", "&gt;", "|")</t>
        </is>
      </c>
    </row>
    <row r="432">
      <c r="A432" t="inlineStr">
        <is>
          <t xml:space="preserve">    For Each x In yasak</t>
        </is>
      </c>
    </row>
    <row r="433">
      <c r="A433" t="inlineStr">
        <is>
          <t xml:space="preserve">        metin = Replace(metin, CStr(x), "-")</t>
        </is>
      </c>
    </row>
    <row r="434">
      <c r="A434" t="inlineStr">
        <is>
          <t xml:space="preserve">    Next x</t>
        </is>
      </c>
    </row>
    <row r="435">
      <c r="A435" t="inlineStr">
        <is>
          <t xml:space="preserve">    OutlookDosyaAdiTemizleV1 = Trim$(metin)</t>
        </is>
      </c>
    </row>
    <row r="436">
      <c r="A436" t="inlineStr">
        <is>
          <t>End Function</t>
        </is>
      </c>
    </row>
    <row r="438">
      <c r="A438" t="inlineStr">
        <is>
          <t>Private Sub SetForegroundWindowOutlookV1(ByVal posta As Object)</t>
        </is>
      </c>
    </row>
    <row r="439">
      <c r="A439" t="inlineStr">
        <is>
          <t xml:space="preserve">    On Error Resume Next</t>
        </is>
      </c>
    </row>
    <row r="440">
      <c r="A440" t="inlineStr">
        <is>
          <t xml:space="preserve">    posta.GetInspector.Activate</t>
        </is>
      </c>
    </row>
    <row r="441">
      <c r="A441" t="inlineStr">
        <is>
          <t>End Sub</t>
        </is>
      </c>
    </row>
    <row r="443">
      <c r="A443" s="182" t="inlineStr">
        <is>
          <t>OUTLOOK PDF E-POSTA MAKROSU — KURULUM</t>
        </is>
      </c>
    </row>
    <row r="444">
      <c r="A444" t="inlineStr">
        <is>
          <t>A350:A441 kodunu yeni standart VBA modülüne yapıştırın; OutlookDugmesiniBaglaV1 ve OutlookPDFTestiV1 makrolarını çalıştırın.</t>
        </is>
      </c>
    </row>
  </sheetData>
  <mergeCells count="22">
    <mergeCell ref="A345:F345"/>
    <mergeCell ref="C253:F253"/>
    <mergeCell ref="A444:F444"/>
    <mergeCell ref="A74:F74"/>
    <mergeCell ref="A443:F443"/>
    <mergeCell ref="A3:F3"/>
    <mergeCell ref="A86:F86"/>
    <mergeCell ref="A82:F83"/>
    <mergeCell ref="C249:F249"/>
    <mergeCell ref="A247:F247"/>
    <mergeCell ref="C258:F258"/>
    <mergeCell ref="C254:F254"/>
    <mergeCell ref="A5:F5"/>
    <mergeCell ref="A1:F2"/>
    <mergeCell ref="C250:F250"/>
    <mergeCell ref="C256:F256"/>
    <mergeCell ref="C255:F255"/>
    <mergeCell ref="C252:F252"/>
    <mergeCell ref="C257:F257"/>
    <mergeCell ref="C251:F251"/>
    <mergeCell ref="A346:F346"/>
    <mergeCell ref="A87:F87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>
  <sheetPr codeName="Sayfa11">
    <outlinePr summaryBelow="1" summaryRight="1"/>
    <pageSetUpPr/>
  </sheetPr>
  <dimension ref="A1:F20"/>
  <sheetViews>
    <sheetView showGridLines="0" workbookViewId="0">
      <selection activeCell="A1" sqref="A1:F2"/>
    </sheetView>
  </sheetViews>
  <sheetFormatPr baseColWidth="8" defaultRowHeight="15"/>
  <cols>
    <col width="14.28515625" customWidth="1" style="164" min="1" max="1"/>
    <col width="26.7109375" customWidth="1" style="164" min="2" max="2"/>
    <col width="18.140625" customWidth="1" style="164" min="3" max="3"/>
    <col width="19" customWidth="1" style="164" min="4" max="4"/>
    <col width="20" customWidth="1" style="164" min="5" max="5"/>
    <col width="21" customWidth="1" style="164" min="6" max="6"/>
  </cols>
  <sheetData>
    <row r="1" ht="27" customHeight="1" s="164">
      <c r="A1" s="175" t="inlineStr">
        <is>
          <t>İŞ BANKASI DÖVİZ SATIŞ KURLARI</t>
        </is>
      </c>
    </row>
    <row r="2" ht="27" customHeight="1" s="164"/>
    <row r="3">
      <c r="A3" s="169" t="inlineStr">
        <is>
          <t>Teklif hesaplamalarında kullanılan çevrimiçi kur tablosu</t>
        </is>
      </c>
    </row>
    <row r="4">
      <c r="A4" s="1" t="n"/>
      <c r="B4" s="1" t="n"/>
      <c r="C4" s="1" t="n"/>
      <c r="D4" s="1" t="n"/>
      <c r="E4" s="1" t="n"/>
      <c r="F4" s="1" t="n"/>
    </row>
    <row r="5" ht="21.75" customHeight="1" s="164">
      <c r="A5" s="2" t="inlineStr">
        <is>
          <t>Kod</t>
        </is>
      </c>
      <c r="B5" s="2" t="inlineStr">
        <is>
          <t>Döviz</t>
        </is>
      </c>
      <c r="C5" s="2" t="inlineStr">
        <is>
          <t>Banka Satış (TL)</t>
        </is>
      </c>
      <c r="D5" s="2" t="inlineStr">
        <is>
          <t>Son Güncelleme</t>
        </is>
      </c>
      <c r="E5" s="2" t="inlineStr">
        <is>
          <t>Kaynak</t>
        </is>
      </c>
      <c r="F5" s="2" t="inlineStr">
        <is>
          <t>Durum</t>
        </is>
      </c>
    </row>
    <row r="6">
      <c r="A6" s="1" t="inlineStr">
        <is>
          <t>TRY</t>
        </is>
      </c>
      <c r="B6" s="1" t="inlineStr">
        <is>
          <t>Türk Lirası</t>
        </is>
      </c>
      <c r="C6" s="11" t="n">
        <v>1</v>
      </c>
      <c r="D6" s="288" t="n">
        <v>46292</v>
      </c>
      <c r="E6" s="1" t="inlineStr">
        <is>
          <t>Yerel para</t>
        </is>
      </c>
      <c r="F6" s="1" t="inlineStr">
        <is>
          <t>Sabit</t>
        </is>
      </c>
    </row>
    <row r="7">
      <c r="A7" s="1" t="inlineStr">
        <is>
          <t>USD</t>
        </is>
      </c>
      <c r="B7" s="1" t="inlineStr">
        <is>
          <t>Amerikan Doları</t>
        </is>
      </c>
      <c r="C7" s="11" t="n">
        <v>50.3378</v>
      </c>
      <c r="D7" s="288" t="n">
        <v>46292.59722222222</v>
      </c>
      <c r="E7" s="1" t="inlineStr">
        <is>
          <t>İş Bankası</t>
        </is>
      </c>
      <c r="F7" s="1" t="inlineStr">
        <is>
          <t>Otomatik yenilendi</t>
        </is>
      </c>
    </row>
    <row r="8">
      <c r="A8" s="1" t="inlineStr">
        <is>
          <t>EUR</t>
        </is>
      </c>
      <c r="B8" s="1" t="inlineStr">
        <is>
          <t>Euro</t>
        </is>
      </c>
      <c r="C8" s="11" t="n">
        <v>57.3448</v>
      </c>
      <c r="D8" s="288" t="n">
        <v>46292.59722222222</v>
      </c>
      <c r="E8" s="1" t="inlineStr">
        <is>
          <t>İş Bankası</t>
        </is>
      </c>
      <c r="F8" s="1" t="inlineStr">
        <is>
          <t>Testte doğrulandı</t>
        </is>
      </c>
    </row>
    <row r="9">
      <c r="A9" s="1" t="inlineStr">
        <is>
          <t>GBP</t>
        </is>
      </c>
      <c r="B9" s="1" t="inlineStr">
        <is>
          <t>İngiliz Sterlini</t>
        </is>
      </c>
      <c r="C9" s="11" t="n">
        <v>66.7328</v>
      </c>
      <c r="D9" s="288" t="n">
        <v>46292.59722222222</v>
      </c>
      <c r="E9" s="1" t="inlineStr">
        <is>
          <t>İş Bankası</t>
        </is>
      </c>
      <c r="F9" s="1" t="inlineStr">
        <is>
          <t>Otomatik yenilendi</t>
        </is>
      </c>
    </row>
    <row r="10">
      <c r="A10" s="1" t="n"/>
      <c r="B10" s="1" t="n"/>
      <c r="C10" s="1" t="n"/>
      <c r="D10" s="1" t="n"/>
      <c r="E10" s="1" t="n"/>
      <c r="F10" s="1" t="n"/>
    </row>
    <row r="11">
      <c r="A11" s="1" t="n"/>
      <c r="B11" s="1" t="n"/>
      <c r="C11" s="1" t="n"/>
      <c r="D11" s="1" t="n"/>
      <c r="E11" s="1" t="n"/>
      <c r="F11" s="1" t="n"/>
    </row>
    <row r="12">
      <c r="A12" s="168" t="inlineStr">
        <is>
          <t>OTOMATİK YENİLEME YAPILANDIRMASI</t>
        </is>
      </c>
    </row>
    <row r="13">
      <c r="A13" s="10" t="inlineStr">
        <is>
          <t>API Sağlayıcı</t>
        </is>
      </c>
      <c r="B13" s="1" t="inlineStr">
        <is>
          <t>Türkiye İş Bankası API Portalı</t>
        </is>
      </c>
      <c r="C13" s="1" t="n"/>
      <c r="D13" s="1" t="n"/>
      <c r="E13" s="1" t="n"/>
      <c r="F13" s="1" t="n"/>
    </row>
    <row r="14">
      <c r="A14" s="10" t="inlineStr">
        <is>
          <t>API Ürünü</t>
        </is>
      </c>
      <c r="B14" s="1" t="inlineStr">
        <is>
          <t>Döviz Kurları API</t>
        </is>
      </c>
      <c r="C14" s="1" t="n"/>
      <c r="D14" s="1" t="n"/>
      <c r="E14" s="1" t="n"/>
      <c r="F14" s="1" t="n"/>
    </row>
    <row r="15">
      <c r="A15" s="10" t="inlineStr">
        <is>
          <t>API Anahtarı</t>
        </is>
      </c>
      <c r="B15" s="1" t="inlineStr">
        <is>
          <t>ABONELİK SONRASI BURAYA GİRİN</t>
        </is>
      </c>
      <c r="C15" s="1" t="n"/>
      <c r="D15" s="1" t="n"/>
      <c r="E15" s="1" t="n"/>
      <c r="F15" s="1" t="n"/>
    </row>
    <row r="16">
      <c r="A16" s="10" t="inlineStr">
        <is>
          <t>Kur Türü</t>
        </is>
      </c>
      <c r="B16" s="1" t="inlineStr">
        <is>
          <t>Döviz Satış</t>
        </is>
      </c>
      <c r="C16" s="1" t="n"/>
      <c r="D16" s="1" t="n"/>
      <c r="E16" s="1" t="n"/>
      <c r="F16" s="1" t="n"/>
    </row>
    <row r="17">
      <c r="A17" s="10" t="inlineStr">
        <is>
          <t>Para Birimleri</t>
        </is>
      </c>
      <c r="B17" s="1" t="inlineStr">
        <is>
          <t>USD, EUR, GBP</t>
        </is>
      </c>
      <c r="C17" s="1" t="n"/>
      <c r="D17" s="1" t="n"/>
      <c r="E17" s="1" t="n"/>
      <c r="F17" s="1" t="n"/>
    </row>
    <row r="18">
      <c r="A18" s="1" t="n"/>
      <c r="B18" s="1" t="n"/>
      <c r="C18" s="1" t="n"/>
      <c r="D18" s="1" t="n"/>
      <c r="E18" s="1" t="n"/>
      <c r="F18" s="1" t="n"/>
    </row>
    <row r="19" ht="38.25" customHeight="1" s="164">
      <c r="A19" s="174" t="inlineStr">
        <is>
          <t>Not: İş Bankası canlı API erişimi için geliştirici portalında uygulama oluşturup API ürününe abone olunmalıdır. VBA kodu 'VBA Kodu' sayfasında hazırdır.</t>
        </is>
      </c>
    </row>
    <row r="20">
      <c r="A20" s="1" t="n"/>
      <c r="B20" s="1" t="n"/>
      <c r="C20" s="1" t="n"/>
      <c r="D20" s="1" t="n"/>
      <c r="E20" s="1" t="n"/>
      <c r="F20" s="1" t="n"/>
    </row>
  </sheetData>
  <mergeCells count="4">
    <mergeCell ref="A3:F3"/>
    <mergeCell ref="A19:F19"/>
    <mergeCell ref="A12:F12"/>
    <mergeCell ref="A1:F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>
  <sheetPr codeName="Sayfa10">
    <outlinePr summaryBelow="1" summaryRight="1"/>
    <pageSetUpPr/>
  </sheetPr>
  <dimension ref="A1:J30"/>
  <sheetViews>
    <sheetView showGridLines="0" workbookViewId="0">
      <selection activeCell="Q6" sqref="Q6"/>
    </sheetView>
  </sheetViews>
  <sheetFormatPr baseColWidth="8" defaultRowHeight="15"/>
  <cols>
    <col width="41" customWidth="1" style="164" min="1" max="1"/>
    <col width="15.5703125" customWidth="1" style="164" min="2" max="3"/>
    <col width="3.42578125" customWidth="1" style="164" min="4" max="4"/>
    <col width="13.7109375" customWidth="1" style="164" min="5" max="10"/>
  </cols>
  <sheetData>
    <row r="1" ht="27" customHeight="1" s="164">
      <c r="A1" s="163" t="inlineStr">
        <is>
          <t>ÜRÜN PORTFÖYÜ VE TEKLİF ÖZETİ</t>
        </is>
      </c>
    </row>
    <row r="2" ht="27" customHeight="1" s="164"/>
    <row r="3" ht="21" customHeight="1" s="164">
      <c r="A3" s="169" t="inlineStr">
        <is>
          <t>Basınç, gaz kapasitesi ve mevcut teklif görünümü</t>
        </is>
      </c>
    </row>
    <row r="4">
      <c r="A4" s="1" t="n"/>
      <c r="B4" s="1" t="n"/>
      <c r="C4" s="1" t="n"/>
      <c r="D4" s="1" t="n"/>
      <c r="E4" s="1" t="n"/>
      <c r="F4" s="1" t="n"/>
      <c r="G4" s="1" t="n"/>
      <c r="H4" s="1" t="n"/>
      <c r="I4" s="1" t="n"/>
      <c r="J4" s="1" t="n"/>
    </row>
    <row r="5" ht="24" customHeight="1" s="164">
      <c r="A5" s="170" t="inlineStr">
        <is>
          <t>Ürün Sayısı</t>
        </is>
      </c>
      <c r="C5" s="170" t="inlineStr">
        <is>
          <t>Ort. Gaz (m³)</t>
        </is>
      </c>
      <c r="E5" s="170" t="inlineStr">
        <is>
          <t>En Yüksek (m³)</t>
        </is>
      </c>
      <c r="G5" s="170" t="inlineStr">
        <is>
          <t>200 Bar Payı</t>
        </is>
      </c>
      <c r="H5" s="170" t="inlineStr">
        <is>
          <t>KDV Dahil Teklif</t>
        </is>
      </c>
      <c r="J5" s="1" t="n"/>
    </row>
    <row r="6" ht="24" customHeight="1" s="164" thickBot="1">
      <c r="A6" s="171">
        <f>COUNTA(Urunler!A2:A11)</f>
        <v/>
      </c>
      <c r="C6" s="165">
        <f>AVERAGE(Urunler!C2:C11)</f>
        <v/>
      </c>
      <c r="E6" s="165">
        <f>MAX(Urunler!C2:C11)</f>
        <v/>
      </c>
      <c r="G6" s="172">
        <f>COUNTIF(Urunler!B2:B11,200)/COUNTA(Urunler!A2:A11)</f>
        <v/>
      </c>
      <c r="H6" s="167">
        <f>'Teklif Formu'!K33</f>
        <v/>
      </c>
      <c r="J6" s="1" t="n"/>
    </row>
    <row r="7" ht="24" customHeight="1" s="164" thickBot="1">
      <c r="A7" s="166" t="n"/>
      <c r="B7" s="166" t="n"/>
      <c r="C7" s="166" t="n"/>
      <c r="D7" s="166" t="n"/>
      <c r="E7" s="166" t="n"/>
      <c r="F7" s="166" t="n"/>
      <c r="G7" s="166" t="n"/>
      <c r="H7" s="166" t="n"/>
      <c r="I7" s="166" t="n"/>
      <c r="J7" s="1" t="n"/>
    </row>
    <row r="8">
      <c r="A8" s="1" t="n"/>
      <c r="B8" s="1" t="n"/>
      <c r="C8" s="1" t="n"/>
      <c r="D8" s="1" t="n"/>
      <c r="E8" s="1" t="n"/>
      <c r="F8" s="1" t="n"/>
      <c r="G8" s="1" t="n"/>
      <c r="H8" s="1" t="n"/>
      <c r="I8" s="1" t="n"/>
      <c r="J8" s="1" t="n"/>
    </row>
    <row r="9">
      <c r="A9" s="1" t="n"/>
      <c r="B9" s="1" t="n"/>
      <c r="C9" s="1" t="n"/>
      <c r="D9" s="1" t="n"/>
      <c r="E9" s="1" t="n"/>
      <c r="F9" s="1" t="n"/>
      <c r="G9" s="1" t="n"/>
      <c r="H9" s="1" t="n"/>
      <c r="I9" s="1" t="n"/>
      <c r="J9" s="1" t="n"/>
    </row>
    <row r="10" ht="21.75" customHeight="1" s="164">
      <c r="A10" s="3" t="inlineStr">
        <is>
          <t>Ürün</t>
        </is>
      </c>
      <c r="B10" s="3" t="inlineStr">
        <is>
          <t>Basınç (bar)</t>
        </is>
      </c>
      <c r="C10" s="3" t="inlineStr">
        <is>
          <t>Gaz (m³)</t>
        </is>
      </c>
      <c r="D10" s="1" t="n"/>
      <c r="E10" s="1" t="n"/>
      <c r="F10" s="1" t="n"/>
      <c r="G10" s="1" t="n"/>
      <c r="H10" s="1" t="n"/>
      <c r="I10" s="1" t="n"/>
      <c r="J10" s="1" t="n"/>
    </row>
    <row r="11">
      <c r="A11" s="4">
        <f>Urunler!A2</f>
        <v/>
      </c>
      <c r="B11" s="5">
        <f>Urunler!B2</f>
        <v/>
      </c>
      <c r="C11" s="6">
        <f>Urunler!C2</f>
        <v/>
      </c>
      <c r="D11" s="1" t="n"/>
      <c r="E11" s="1" t="n"/>
      <c r="F11" s="1" t="n"/>
      <c r="G11" s="1" t="n"/>
      <c r="H11" s="1" t="n"/>
      <c r="I11" s="1" t="n"/>
      <c r="J11" s="1" t="n"/>
    </row>
    <row r="12">
      <c r="A12" s="4">
        <f>Urunler!A3</f>
        <v/>
      </c>
      <c r="B12" s="5">
        <f>Urunler!B3</f>
        <v/>
      </c>
      <c r="C12" s="6">
        <f>Urunler!C3</f>
        <v/>
      </c>
      <c r="D12" s="1" t="n"/>
      <c r="E12" s="1" t="n"/>
      <c r="F12" s="1" t="n"/>
      <c r="G12" s="1" t="n"/>
      <c r="H12" s="1" t="n"/>
      <c r="I12" s="1" t="n"/>
      <c r="J12" s="1" t="n"/>
    </row>
    <row r="13">
      <c r="A13" s="4">
        <f>Urunler!A4</f>
        <v/>
      </c>
      <c r="B13" s="5">
        <f>Urunler!B4</f>
        <v/>
      </c>
      <c r="C13" s="6">
        <f>Urunler!C4</f>
        <v/>
      </c>
      <c r="D13" s="1" t="n"/>
      <c r="E13" s="1" t="n"/>
      <c r="F13" s="1" t="n"/>
      <c r="G13" s="1" t="n"/>
      <c r="H13" s="1" t="n"/>
      <c r="I13" s="1" t="n"/>
      <c r="J13" s="1" t="n"/>
    </row>
    <row r="14">
      <c r="A14" s="4">
        <f>Urunler!A5</f>
        <v/>
      </c>
      <c r="B14" s="5">
        <f>Urunler!B5</f>
        <v/>
      </c>
      <c r="C14" s="6">
        <f>Urunler!C5</f>
        <v/>
      </c>
      <c r="D14" s="1" t="n"/>
      <c r="E14" s="1" t="n"/>
      <c r="F14" s="1" t="n"/>
      <c r="G14" s="1" t="n"/>
      <c r="H14" s="1" t="n"/>
      <c r="I14" s="1" t="n"/>
      <c r="J14" s="1" t="n"/>
    </row>
    <row r="15">
      <c r="A15" s="4">
        <f>Urunler!A6</f>
        <v/>
      </c>
      <c r="B15" s="5">
        <f>Urunler!B6</f>
        <v/>
      </c>
      <c r="C15" s="6">
        <f>Urunler!C6</f>
        <v/>
      </c>
      <c r="D15" s="1" t="n"/>
      <c r="E15" s="1" t="n"/>
      <c r="F15" s="1" t="n"/>
      <c r="G15" s="1" t="n"/>
      <c r="H15" s="1" t="n"/>
      <c r="I15" s="1" t="n"/>
      <c r="J15" s="1" t="n"/>
    </row>
    <row r="16">
      <c r="A16" s="4">
        <f>Urunler!A7</f>
        <v/>
      </c>
      <c r="B16" s="5">
        <f>Urunler!B7</f>
        <v/>
      </c>
      <c r="C16" s="6">
        <f>Urunler!C7</f>
        <v/>
      </c>
      <c r="D16" s="1" t="n"/>
      <c r="E16" s="1" t="n"/>
      <c r="F16" s="1" t="n"/>
      <c r="G16" s="1" t="n"/>
      <c r="H16" s="1" t="n"/>
      <c r="I16" s="1" t="n"/>
      <c r="J16" s="1" t="n"/>
    </row>
    <row r="17">
      <c r="A17" s="4">
        <f>Urunler!A8</f>
        <v/>
      </c>
      <c r="B17" s="5">
        <f>Urunler!B8</f>
        <v/>
      </c>
      <c r="C17" s="6">
        <f>Urunler!C8</f>
        <v/>
      </c>
      <c r="D17" s="1" t="n"/>
      <c r="E17" s="1" t="n"/>
      <c r="F17" s="1" t="n"/>
      <c r="G17" s="1" t="n"/>
      <c r="H17" s="1" t="n"/>
      <c r="I17" s="1" t="n"/>
      <c r="J17" s="1" t="n"/>
    </row>
    <row r="18">
      <c r="A18" s="4">
        <f>Urunler!A9</f>
        <v/>
      </c>
      <c r="B18" s="5">
        <f>Urunler!B9</f>
        <v/>
      </c>
      <c r="C18" s="6">
        <f>Urunler!C9</f>
        <v/>
      </c>
      <c r="D18" s="1" t="n"/>
      <c r="E18" s="1" t="n"/>
      <c r="F18" s="1" t="n"/>
      <c r="G18" s="1" t="n"/>
      <c r="H18" s="1" t="n"/>
      <c r="I18" s="1" t="n"/>
      <c r="J18" s="1" t="n"/>
    </row>
    <row r="19">
      <c r="A19" s="4">
        <f>Urunler!A10</f>
        <v/>
      </c>
      <c r="B19" s="5">
        <f>Urunler!B10</f>
        <v/>
      </c>
      <c r="C19" s="6">
        <f>Urunler!C10</f>
        <v/>
      </c>
      <c r="D19" s="1" t="n"/>
      <c r="E19" s="1" t="n"/>
      <c r="F19" s="1" t="n"/>
      <c r="G19" s="1" t="n"/>
      <c r="H19" s="1" t="n"/>
      <c r="I19" s="1" t="n"/>
      <c r="J19" s="1" t="n"/>
    </row>
    <row r="20">
      <c r="A20" s="7">
        <f>Urunler!A11</f>
        <v/>
      </c>
      <c r="B20" s="8">
        <f>Urunler!B11</f>
        <v/>
      </c>
      <c r="C20" s="9">
        <f>Urunler!C11</f>
        <v/>
      </c>
      <c r="D20" s="1" t="n"/>
      <c r="E20" s="1" t="n"/>
      <c r="F20" s="1" t="n"/>
      <c r="G20" s="1" t="n"/>
      <c r="H20" s="1" t="n"/>
      <c r="I20" s="1" t="n"/>
      <c r="J20" s="1" t="n"/>
    </row>
    <row r="21">
      <c r="A21" s="1" t="n"/>
      <c r="B21" s="1" t="n"/>
      <c r="C21" s="1" t="n"/>
      <c r="D21" s="1" t="n"/>
      <c r="E21" s="1" t="n"/>
      <c r="F21" s="1" t="n"/>
      <c r="G21" s="1" t="n"/>
      <c r="H21" s="1" t="n"/>
      <c r="I21" s="1" t="n"/>
      <c r="J21" s="1" t="n"/>
    </row>
    <row r="22">
      <c r="A22" s="1" t="n"/>
      <c r="B22" s="1" t="n"/>
      <c r="C22" s="1" t="n"/>
      <c r="D22" s="1" t="n"/>
      <c r="E22" s="1" t="n"/>
      <c r="F22" s="1" t="n"/>
      <c r="G22" s="1" t="n"/>
      <c r="H22" s="1" t="n"/>
      <c r="I22" s="1" t="n"/>
      <c r="J22" s="1" t="n"/>
    </row>
    <row r="23" ht="21.75" customHeight="1" s="164">
      <c r="A23" s="168" t="inlineStr">
        <is>
          <t>ÖNE ÇIKAN BULGULAR</t>
        </is>
      </c>
      <c r="D23" s="1" t="n"/>
      <c r="E23" s="1" t="n"/>
      <c r="F23" s="1" t="n"/>
      <c r="G23" s="1" t="n"/>
      <c r="H23" s="1" t="n"/>
      <c r="I23" s="1" t="n"/>
      <c r="J23" s="1" t="n"/>
    </row>
    <row r="24" ht="30" customHeight="1" s="164">
      <c r="A24" s="173">
        <f>"• Ürünlerin "&amp;TEXT(COUNTIF(Urunler!B2:B11,200)/COUNTA(Urunler!A2:A11),"0%")&amp;"’i 200 bar; portföy belirgin biçimde bu standarda yoğunlaşıyor."</f>
        <v/>
      </c>
      <c r="D24" s="1" t="n"/>
      <c r="E24" s="1" t="n"/>
      <c r="F24" s="1" t="n"/>
      <c r="G24" s="1" t="n"/>
      <c r="H24" s="1" t="n"/>
      <c r="I24" s="1" t="n"/>
      <c r="J24" s="1" t="n"/>
    </row>
    <row r="25" ht="30" customHeight="1" s="164">
      <c r="A25" s="173">
        <f>"• 230 bar ürünler ortalama "&amp;TEXT(AVERAGEIF(Urunler!B2:B11,230,Urunler!C2:C11),"0,00")&amp;" m³ gaz taşırken 200 bar ürünler "&amp;TEXT(AVERAGEIF(Urunler!B2:B11,200,Urunler!C2:C11),"0,00")&amp;" m³ taşıyor (+"&amp;TEXT(AVERAGEIF(Urunler!B2:B11,230,Urunler!C2:C11)/AVERAGEIF(Urunler!B2:B11,200,Urunler!C2:C11)-1,"0%")&amp;")."</f>
        <v/>
      </c>
      <c r="D25" s="1" t="n"/>
      <c r="E25" s="1" t="n"/>
      <c r="F25" s="1" t="n"/>
      <c r="G25" s="1" t="n"/>
      <c r="H25" s="1" t="n"/>
      <c r="I25" s="1" t="n"/>
      <c r="J25" s="1" t="n"/>
    </row>
    <row r="26" ht="30" customHeight="1" s="164">
      <c r="A26" s="173">
        <f>"• En yüksek kapasite "&amp;TEXT(MAX(Urunler!C2:C11),"0,00")&amp;" m³ ile "&amp;INDEX(Urunler!A2:A11,MATCH(MAX(Urunler!C2:C11),Urunler!C2:C11,0))&amp;"; en düşük "&amp;TEXT(MIN(Urunler!C2:C11),"0,00")&amp;" m³ ile "&amp;INDEX(Urunler!A2:A11,MATCH(MIN(Urunler!C2:C11),Urunler!C2:C11,0))&amp;"."</f>
        <v/>
      </c>
      <c r="D26" s="1" t="n"/>
      <c r="E26" s="1" t="n"/>
      <c r="F26" s="1" t="n"/>
      <c r="G26" s="1" t="n"/>
      <c r="H26" s="1" t="n"/>
      <c r="I26" s="1" t="n"/>
      <c r="J26" s="1" t="n"/>
    </row>
    <row r="27" ht="30" customHeight="1" s="164">
      <c r="A27" s="173">
        <f>"• Teklif formundaki 23 satırın "&amp;COUNTIF('Teklif Formu'!A8:A30,"&lt;&gt;")&amp;" satırı dolu; KDV dahil TL toplamı "&amp;TEXT('Teklif Formu'!K33,"#.##0,00")&amp;" TL."</f>
        <v/>
      </c>
      <c r="D27" s="1" t="n"/>
      <c r="E27" s="1" t="n"/>
      <c r="F27" s="1" t="n"/>
      <c r="G27" s="1" t="n"/>
      <c r="H27" s="1" t="n"/>
      <c r="I27" s="1" t="n"/>
      <c r="J27" s="1" t="n"/>
    </row>
    <row r="28">
      <c r="D28" s="1" t="n"/>
      <c r="E28" s="1" t="n"/>
      <c r="F28" s="1" t="n"/>
      <c r="G28" s="1" t="n"/>
      <c r="H28" s="1" t="n"/>
      <c r="I28" s="1" t="n"/>
      <c r="J28" s="1" t="n"/>
    </row>
    <row r="29">
      <c r="A29" s="1" t="n"/>
      <c r="B29" s="1" t="n"/>
      <c r="C29" s="1" t="n"/>
      <c r="D29" s="1" t="n"/>
      <c r="E29" s="1" t="n"/>
      <c r="F29" s="1" t="n"/>
      <c r="G29" s="1" t="n"/>
      <c r="H29" s="1" t="n"/>
      <c r="I29" s="1" t="n"/>
      <c r="J29" s="1" t="n"/>
    </row>
    <row r="30">
      <c r="A30" s="1" t="n"/>
      <c r="B30" s="1" t="n"/>
      <c r="C30" s="1" t="n"/>
      <c r="D30" s="1" t="n"/>
      <c r="E30" s="1" t="n"/>
      <c r="F30" s="1" t="n"/>
      <c r="G30" s="1" t="n"/>
      <c r="H30" s="1" t="n"/>
      <c r="I30" s="1" t="n"/>
      <c r="J30" s="1" t="n"/>
    </row>
  </sheetData>
  <mergeCells count="17">
    <mergeCell ref="A28:C28"/>
    <mergeCell ref="A25:C25"/>
    <mergeCell ref="A1:J2"/>
    <mergeCell ref="E6:F7"/>
    <mergeCell ref="C6:D7"/>
    <mergeCell ref="A23:C23"/>
    <mergeCell ref="H6:I7"/>
    <mergeCell ref="A3:J3"/>
    <mergeCell ref="A5:B5"/>
    <mergeCell ref="C5:D5"/>
    <mergeCell ref="E5:F5"/>
    <mergeCell ref="A27:C27"/>
    <mergeCell ref="H5:I5"/>
    <mergeCell ref="A6:B7"/>
    <mergeCell ref="G6:G7"/>
    <mergeCell ref="A26:C26"/>
    <mergeCell ref="A24:C24"/>
  </mergeCells>
  <conditionalFormatting sqref="C11:C20">
    <cfRule type="dataBar" priority="1">
      <dataBar>
        <cfvo type="min"/>
        <cfvo type="max"/>
        <color rgb="FF638EC6"/>
      </dataBar>
    </cfRule>
  </conditionalFormatting>
  <pageMargins left="0.7" right="0.7" top="0.75" bottom="0.75" header="0.3" footer="0.3"/>
  <drawing xmlns:r="http://schemas.openxmlformats.org/officeDocument/2006/relationships" r:id="rId1"/>
</worksheet>
</file>

<file path=xl/worksheets/sheet16.xml><?xml version="1.0" encoding="utf-8"?>
<worksheet xmlns="http://schemas.openxmlformats.org/spreadsheetml/2006/main">
  <sheetPr codeName="Sayfa9">
    <outlinePr summaryBelow="1" summaryRight="1"/>
    <pageSetUpPr/>
  </sheetPr>
  <dimension ref="A1:C11"/>
  <sheetViews>
    <sheetView workbookViewId="0">
      <selection activeCell="A1" sqref="A1"/>
    </sheetView>
  </sheetViews>
  <sheetFormatPr baseColWidth="8" defaultRowHeight="15"/>
  <sheetData>
    <row r="1">
      <c r="A1" t="inlineStr">
        <is>
          <t>Urun</t>
        </is>
      </c>
      <c r="B1" t="inlineStr">
        <is>
          <t>Bar</t>
        </is>
      </c>
      <c r="C1" t="inlineStr">
        <is>
          <t>Gaz</t>
        </is>
      </c>
    </row>
    <row r="2">
      <c r="A2" t="inlineStr">
        <is>
          <t>Y.S. HELYUM GAZI</t>
        </is>
      </c>
      <c r="B2" t="n">
        <v>200</v>
      </c>
      <c r="C2" t="n">
        <v>9.199999999999999</v>
      </c>
    </row>
    <row r="3">
      <c r="A3" t="inlineStr">
        <is>
          <t>SAF HELYUM GAZI</t>
        </is>
      </c>
      <c r="B3" t="n">
        <v>200</v>
      </c>
      <c r="C3" t="n">
        <v>9.199999999999999</v>
      </c>
    </row>
    <row r="4">
      <c r="A4" t="inlineStr">
        <is>
          <t>Y.S. ARGON GAZI</t>
        </is>
      </c>
      <c r="B4" t="n">
        <v>230</v>
      </c>
      <c r="C4" t="n">
        <v>12.06</v>
      </c>
    </row>
    <row r="5">
      <c r="A5" t="inlineStr">
        <is>
          <t>Y.S. AZOT GAZI</t>
        </is>
      </c>
      <c r="B5" t="n">
        <v>230</v>
      </c>
      <c r="C5" t="n">
        <v>10.5</v>
      </c>
    </row>
    <row r="6">
      <c r="A6" t="inlineStr">
        <is>
          <t>SAF HIDROJEN GAZI</t>
        </is>
      </c>
      <c r="B6" t="n">
        <v>200</v>
      </c>
      <c r="C6" t="n">
        <v>8.9</v>
      </c>
    </row>
    <row r="7">
      <c r="A7" t="inlineStr">
        <is>
          <t>Y.S. HIDROJEN GAZI</t>
        </is>
      </c>
      <c r="B7" t="n">
        <v>200</v>
      </c>
      <c r="C7" t="n">
        <v>8.9</v>
      </c>
    </row>
    <row r="8">
      <c r="A8" t="inlineStr">
        <is>
          <t>Y.S. OKSIJEN GAZI</t>
        </is>
      </c>
      <c r="B8" t="n">
        <v>200</v>
      </c>
      <c r="C8" t="n">
        <v>10.6</v>
      </c>
    </row>
    <row r="9">
      <c r="A9" t="inlineStr">
        <is>
          <t>Y.S. KURUHAVA GAZI (4.8 GRADE)</t>
        </is>
      </c>
      <c r="B9" t="n">
        <v>200</v>
      </c>
      <c r="C9" t="n">
        <v>9.800000000000001</v>
      </c>
    </row>
    <row r="10">
      <c r="A10" t="inlineStr">
        <is>
          <t>Y.S. KURUHAVA GAZI (5.0 GRADE)</t>
        </is>
      </c>
      <c r="B10" t="n">
        <v>200</v>
      </c>
      <c r="C10" t="n">
        <v>9.800000000000001</v>
      </c>
    </row>
    <row r="11">
      <c r="A11" t="inlineStr">
        <is>
          <t>P10 GAZI</t>
        </is>
      </c>
      <c r="B11" t="n">
        <v>200</v>
      </c>
      <c r="C11" t="n">
        <v>10.7</v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 codeName="Sayfa8">
    <outlinePr summaryBelow="1" summaryRight="1"/>
    <pageSetUpPr fitToPage="1"/>
  </sheetPr>
  <dimension ref="A1:K40"/>
  <sheetViews>
    <sheetView showGridLines="0" zoomScaleNormal="100" workbookViewId="0">
      <selection activeCell="Q6" sqref="Q6"/>
    </sheetView>
  </sheetViews>
  <sheetFormatPr baseColWidth="8" defaultRowHeight="15"/>
  <cols>
    <col width="29.5703125" customWidth="1" style="164" min="1" max="1"/>
    <col width="8" customWidth="1" style="164" min="2" max="3"/>
    <col width="9.140625" customWidth="1" style="164" min="4" max="4"/>
    <col width="13" customWidth="1" style="164" min="5" max="6"/>
    <col width="8.5703125" customWidth="1" style="164" min="7" max="7"/>
    <col width="15.5703125" customWidth="1" style="164" min="8" max="8"/>
    <col width="11.85546875" customWidth="1" style="164" min="9" max="9"/>
    <col width="10.42578125" customWidth="1" style="164" min="10" max="10"/>
    <col width="15.5703125" customWidth="1" style="164" min="11" max="11"/>
  </cols>
  <sheetData>
    <row r="1" ht="27" customHeight="1" s="164">
      <c r="A1" s="151" t="n"/>
      <c r="B1" s="152" t="inlineStr">
        <is>
          <t>TEKLİF FORMU</t>
        </is>
      </c>
    </row>
    <row r="2" ht="27" customHeight="1" s="164"/>
    <row r="3" ht="23.25" customHeight="1" s="164">
      <c r="B3" s="150" t="inlineStr">
        <is>
          <t>Müşteri</t>
        </is>
      </c>
      <c r="C3" s="261" t="n"/>
      <c r="D3" s="154" t="n"/>
      <c r="E3" s="264" t="n"/>
      <c r="F3" s="264" t="n"/>
      <c r="G3" s="261" t="n"/>
      <c r="H3" s="150" t="inlineStr">
        <is>
          <t>Teklif No</t>
        </is>
      </c>
      <c r="I3" s="261" t="n"/>
      <c r="J3" s="156" t="n"/>
      <c r="K3" s="261" t="n"/>
    </row>
    <row r="4" ht="23.25" customHeight="1" s="164">
      <c r="B4" s="150" t="inlineStr">
        <is>
          <t>Yetkili</t>
        </is>
      </c>
      <c r="C4" s="261" t="n"/>
      <c r="D4" s="154" t="n"/>
      <c r="E4" s="264" t="n"/>
      <c r="F4" s="264" t="n"/>
      <c r="G4" s="261" t="n"/>
      <c r="H4" s="150" t="inlineStr">
        <is>
          <t>Tarih</t>
        </is>
      </c>
      <c r="I4" s="261" t="n"/>
      <c r="J4" s="284" t="n"/>
      <c r="K4" s="261" t="n"/>
    </row>
    <row r="5" ht="23.25" customHeight="1" s="164">
      <c r="B5" s="150" t="inlineStr">
        <is>
          <t>Geçerlilik Süresi</t>
        </is>
      </c>
      <c r="C5" s="261" t="n"/>
      <c r="D5" s="154" t="inlineStr">
        <is>
          <t>30 Gün</t>
        </is>
      </c>
      <c r="E5" s="264" t="n"/>
      <c r="F5" s="264" t="n"/>
      <c r="G5" s="261" t="n"/>
      <c r="H5" s="150" t="inlineStr">
        <is>
          <t>Geçerlilik Tarihi</t>
        </is>
      </c>
      <c r="I5" s="261" t="n"/>
      <c r="J5" s="266">
        <f>IF(J4="","",J4+IFERROR(VALUE(SUBSTITUTE(D5," Gün","")),30))</f>
        <v/>
      </c>
      <c r="K5" s="261" t="n"/>
    </row>
    <row r="6" ht="24" customHeight="1" s="164">
      <c r="A6" s="110" t="inlineStr">
        <is>
          <t>TEKLİF KALEMLERİ</t>
        </is>
      </c>
    </row>
    <row r="7" ht="33.75" customHeight="1" s="164">
      <c r="A7" s="32" t="inlineStr">
        <is>
          <t>Ürün</t>
        </is>
      </c>
      <c r="B7" s="32" t="inlineStr">
        <is>
          <t>BAR</t>
        </is>
      </c>
      <c r="C7" s="32" t="inlineStr">
        <is>
          <t>Gaz Miktarı (m³)</t>
        </is>
      </c>
      <c r="D7" s="32" t="inlineStr">
        <is>
          <t>Miktar</t>
        </is>
      </c>
      <c r="E7" s="32" t="inlineStr">
        <is>
          <t>Birim Fiyat</t>
        </is>
      </c>
      <c r="F7" s="32" t="inlineStr">
        <is>
          <t>Toplam</t>
        </is>
      </c>
      <c r="G7" s="32" t="inlineStr">
        <is>
          <t>KDV %</t>
        </is>
      </c>
      <c r="H7" s="32" t="inlineStr">
        <is>
          <t>KDV Dahil Toplam</t>
        </is>
      </c>
      <c r="I7" s="32" t="inlineStr">
        <is>
          <t>Para Birimi</t>
        </is>
      </c>
      <c r="J7" s="32" t="inlineStr">
        <is>
          <t>Kur</t>
        </is>
      </c>
      <c r="K7" s="32" t="inlineStr">
        <is>
          <t>KDV Dahil TL</t>
        </is>
      </c>
    </row>
    <row r="8" ht="20.25" customHeight="1" s="164">
      <c r="A8" s="33" t="inlineStr">
        <is>
          <t>Y.S. AZOT GAZI</t>
        </is>
      </c>
      <c r="B8" s="34">
        <f>IFERROR(VLOOKUP(A8,Urunler!$A$2:$C$11,2,FALSE),"")</f>
        <v/>
      </c>
      <c r="C8" s="34">
        <f>IFERROR(VLOOKUP(A8,Urunler!$A$2:$C$11,3,FALSE),"")</f>
        <v/>
      </c>
      <c r="D8" s="35" t="n">
        <v>1</v>
      </c>
      <c r="E8" s="35" t="n">
        <v>100</v>
      </c>
      <c r="F8" s="36">
        <f>IF(OR(C8="",D8="",E8=""),"",C8*D8*E8)</f>
        <v/>
      </c>
      <c r="G8" s="37" t="n">
        <v>0.2</v>
      </c>
      <c r="H8" s="36">
        <f>IF(F8="","",F8*(1+G8))</f>
        <v/>
      </c>
      <c r="I8" s="35" t="inlineStr">
        <is>
          <t>TRY</t>
        </is>
      </c>
      <c r="J8" s="38">
        <f>IFERROR(VLOOKUP(I8,'Kur Bilgisi'!$A$6:$C$9,3,FALSE),"")</f>
        <v/>
      </c>
      <c r="K8" s="36">
        <f>IF(OR(H8="",J8=""),"",H8*J8)</f>
        <v/>
      </c>
    </row>
    <row r="9" ht="20.25" customHeight="1" s="164">
      <c r="A9" s="33" t="inlineStr">
        <is>
          <t>Y.S. ARGON GAZI</t>
        </is>
      </c>
      <c r="B9" s="34">
        <f>IFERROR(VLOOKUP(A9,Urunler!$A$2:$C$11,2,FALSE),"")</f>
        <v/>
      </c>
      <c r="C9" s="34">
        <f>IFERROR(VLOOKUP(A9,Urunler!$A$2:$C$11,3,FALSE),"")</f>
        <v/>
      </c>
      <c r="D9" s="35" t="n">
        <v>2</v>
      </c>
      <c r="E9" s="35" t="n">
        <v>1000</v>
      </c>
      <c r="F9" s="36">
        <f>IF(OR(C9="",D9="",E9=""),"",C9*D9*E9)</f>
        <v/>
      </c>
      <c r="G9" s="37" t="n">
        <v>0.2</v>
      </c>
      <c r="H9" s="36">
        <f>IF(F9="","",F9*(1+G9))</f>
        <v/>
      </c>
      <c r="I9" s="35" t="inlineStr">
        <is>
          <t>TRY</t>
        </is>
      </c>
      <c r="J9" s="38">
        <f>IFERROR(VLOOKUP(I9,'Kur Bilgisi'!$A$6:$C$9,3,FALSE),"")</f>
        <v/>
      </c>
      <c r="K9" s="36">
        <f>IF(OR(H9="",J9=""),"",H9*J9)</f>
        <v/>
      </c>
    </row>
    <row r="10" ht="20.25" customHeight="1" s="164">
      <c r="A10" s="33" t="inlineStr">
        <is>
          <t>Y.S. HELYUM GAZI</t>
        </is>
      </c>
      <c r="B10" s="34">
        <f>IFERROR(VLOOKUP(A10,Urunler!$A$2:$C$11,2,FALSE),"")</f>
        <v/>
      </c>
      <c r="C10" s="34">
        <f>IFERROR(VLOOKUP(A10,Urunler!$A$2:$C$11,3,FALSE),"")</f>
        <v/>
      </c>
      <c r="D10" s="35" t="n">
        <v>1</v>
      </c>
      <c r="E10" s="35" t="n">
        <v>150</v>
      </c>
      <c r="F10" s="36">
        <f>IF(OR(C10="",D10="",E10=""),"",C10*D10*E10)</f>
        <v/>
      </c>
      <c r="G10" s="37" t="n">
        <v>0.2</v>
      </c>
      <c r="H10" s="36">
        <f>IF(F10="","",F10*(1+G10))</f>
        <v/>
      </c>
      <c r="I10" s="35" t="inlineStr">
        <is>
          <t>USD</t>
        </is>
      </c>
      <c r="J10" s="38">
        <f>IFERROR(VLOOKUP(I10,'Kur Bilgisi'!$A$6:$C$9,3,FALSE),"")</f>
        <v/>
      </c>
      <c r="K10" s="36">
        <f>IF(OR(H10="",J10=""),"",H10*J10)</f>
        <v/>
      </c>
    </row>
    <row r="11" ht="20.25" customHeight="1" s="164">
      <c r="A11" s="33" t="inlineStr">
        <is>
          <t>Y.S. HIDROJEN GAZI</t>
        </is>
      </c>
      <c r="B11" s="34">
        <f>IFERROR(VLOOKUP(A11,Urunler!$A$2:$C$11,2,FALSE),"")</f>
        <v/>
      </c>
      <c r="C11" s="34">
        <f>IFERROR(VLOOKUP(A11,Urunler!$A$2:$C$11,3,FALSE),"")</f>
        <v/>
      </c>
      <c r="D11" s="35" t="n">
        <v>1</v>
      </c>
      <c r="E11" s="35" t="n">
        <v>20</v>
      </c>
      <c r="F11" s="36">
        <f>IF(OR(C11="",D11="",E11=""),"",C11*D11*E11)</f>
        <v/>
      </c>
      <c r="G11" s="37" t="n">
        <v>0.2</v>
      </c>
      <c r="H11" s="36">
        <f>IF(F11="","",F11*(1+G11))</f>
        <v/>
      </c>
      <c r="I11" s="35" t="inlineStr">
        <is>
          <t>EUR</t>
        </is>
      </c>
      <c r="J11" s="38">
        <f>IFERROR(VLOOKUP(I11,'Kur Bilgisi'!$A$6:$C$9,3,FALSE),"")</f>
        <v/>
      </c>
      <c r="K11" s="36">
        <f>IF(OR(H11="",J11=""),"",H11*J11)</f>
        <v/>
      </c>
    </row>
    <row r="12" ht="20.25" customHeight="1" s="164">
      <c r="A12" s="33" t="n"/>
      <c r="B12" s="34">
        <f>IFERROR(VLOOKUP(A12,Urunler!$A$2:$C$11,2,FALSE),"")</f>
        <v/>
      </c>
      <c r="C12" s="34">
        <f>IFERROR(VLOOKUP(A12,Urunler!$A$2:$C$11,3,FALSE),"")</f>
        <v/>
      </c>
      <c r="D12" s="35" t="n"/>
      <c r="E12" s="35" t="n"/>
      <c r="F12" s="36">
        <f>IF(OR(C12="",D12="",E12=""),"",C12*D12*E12)</f>
        <v/>
      </c>
      <c r="G12" s="37" t="n">
        <v>0.2</v>
      </c>
      <c r="H12" s="36">
        <f>IF(F12="","",F12*(1+G12))</f>
        <v/>
      </c>
      <c r="I12" s="35" t="inlineStr">
        <is>
          <t>TRY</t>
        </is>
      </c>
      <c r="J12" s="38">
        <f>IFERROR(VLOOKUP(I12,'Kur Bilgisi'!$A$6:$C$9,3,FALSE),"")</f>
        <v/>
      </c>
      <c r="K12" s="36">
        <f>IF(OR(H12="",J12=""),"",H12*J12)</f>
        <v/>
      </c>
    </row>
    <row r="13" ht="20.25" customHeight="1" s="164">
      <c r="A13" s="33" t="n"/>
      <c r="B13" s="34">
        <f>IFERROR(VLOOKUP(A13,Urunler!$A$2:$C$11,2,FALSE),"")</f>
        <v/>
      </c>
      <c r="C13" s="34">
        <f>IFERROR(VLOOKUP(A13,Urunler!$A$2:$C$11,3,FALSE),"")</f>
        <v/>
      </c>
      <c r="D13" s="35" t="n"/>
      <c r="E13" s="35" t="n"/>
      <c r="F13" s="36">
        <f>IF(OR(C13="",D13="",E13=""),"",C13*D13*E13)</f>
        <v/>
      </c>
      <c r="G13" s="37" t="n">
        <v>0.2</v>
      </c>
      <c r="H13" s="36">
        <f>IF(F13="","",F13*(1+G13))</f>
        <v/>
      </c>
      <c r="I13" s="35" t="inlineStr">
        <is>
          <t>TRY</t>
        </is>
      </c>
      <c r="J13" s="38">
        <f>IFERROR(VLOOKUP(I13,'Kur Bilgisi'!$A$6:$C$9,3,FALSE),"")</f>
        <v/>
      </c>
      <c r="K13" s="36">
        <f>IF(OR(H13="",J13=""),"",H13*J13)</f>
        <v/>
      </c>
    </row>
    <row r="14" ht="20.25" customHeight="1" s="164">
      <c r="A14" s="33" t="n"/>
      <c r="B14" s="34">
        <f>IFERROR(VLOOKUP(A14,Urunler!$A$2:$C$11,2,FALSE),"")</f>
        <v/>
      </c>
      <c r="C14" s="34">
        <f>IFERROR(VLOOKUP(A14,Urunler!$A$2:$C$11,3,FALSE),"")</f>
        <v/>
      </c>
      <c r="D14" s="35" t="n"/>
      <c r="E14" s="35" t="n"/>
      <c r="F14" s="36">
        <f>IF(OR(C14="",D14="",E14=""),"",C14*D14*E14)</f>
        <v/>
      </c>
      <c r="G14" s="37" t="n">
        <v>0.2</v>
      </c>
      <c r="H14" s="36">
        <f>IF(F14="","",F14*(1+G14))</f>
        <v/>
      </c>
      <c r="I14" s="35" t="inlineStr">
        <is>
          <t>TRY</t>
        </is>
      </c>
      <c r="J14" s="38">
        <f>IFERROR(VLOOKUP(I14,'Kur Bilgisi'!$A$6:$C$9,3,FALSE),"")</f>
        <v/>
      </c>
      <c r="K14" s="36">
        <f>IF(OR(H14="",J14=""),"",H14*J14)</f>
        <v/>
      </c>
    </row>
    <row r="15" ht="20.25" customHeight="1" s="164">
      <c r="A15" s="33" t="n"/>
      <c r="B15" s="34">
        <f>IFERROR(VLOOKUP(A15,Urunler!$A$2:$C$11,2,FALSE),"")</f>
        <v/>
      </c>
      <c r="C15" s="34">
        <f>IFERROR(VLOOKUP(A15,Urunler!$A$2:$C$11,3,FALSE),"")</f>
        <v/>
      </c>
      <c r="D15" s="35" t="n"/>
      <c r="E15" s="35" t="n"/>
      <c r="F15" s="36">
        <f>IF(OR(C15="",D15="",E15=""),"",C15*D15*E15)</f>
        <v/>
      </c>
      <c r="G15" s="37" t="n">
        <v>0.2</v>
      </c>
      <c r="H15" s="36">
        <f>IF(F15="","",F15*(1+G15))</f>
        <v/>
      </c>
      <c r="I15" s="35" t="inlineStr">
        <is>
          <t>TRY</t>
        </is>
      </c>
      <c r="J15" s="38">
        <f>IFERROR(VLOOKUP(I15,'Kur Bilgisi'!$A$6:$C$9,3,FALSE),"")</f>
        <v/>
      </c>
      <c r="K15" s="36">
        <f>IF(OR(H15="",J15=""),"",H15*J15)</f>
        <v/>
      </c>
    </row>
    <row r="16" ht="20.25" customHeight="1" s="164">
      <c r="A16" s="33" t="n"/>
      <c r="B16" s="34">
        <f>IFERROR(VLOOKUP(A16,Urunler!$A$2:$C$11,2,FALSE),"")</f>
        <v/>
      </c>
      <c r="C16" s="34">
        <f>IFERROR(VLOOKUP(A16,Urunler!$A$2:$C$11,3,FALSE),"")</f>
        <v/>
      </c>
      <c r="D16" s="35" t="n"/>
      <c r="E16" s="35" t="n"/>
      <c r="F16" s="36">
        <f>IF(OR(C16="",D16="",E16=""),"",C16*D16*E16)</f>
        <v/>
      </c>
      <c r="G16" s="37" t="n">
        <v>0.2</v>
      </c>
      <c r="H16" s="36">
        <f>IF(F16="","",F16*(1+G16))</f>
        <v/>
      </c>
      <c r="I16" s="35" t="inlineStr">
        <is>
          <t>TRY</t>
        </is>
      </c>
      <c r="J16" s="38">
        <f>IFERROR(VLOOKUP(I16,'Kur Bilgisi'!$A$6:$C$9,3,FALSE),"")</f>
        <v/>
      </c>
      <c r="K16" s="36">
        <f>IF(OR(H16="",J16=""),"",H16*J16)</f>
        <v/>
      </c>
    </row>
    <row r="17" ht="20.25" customHeight="1" s="164">
      <c r="A17" s="33" t="n"/>
      <c r="B17" s="34">
        <f>IFERROR(VLOOKUP(A17,Urunler!$A$2:$C$11,2,FALSE),"")</f>
        <v/>
      </c>
      <c r="C17" s="34">
        <f>IFERROR(VLOOKUP(A17,Urunler!$A$2:$C$11,3,FALSE),"")</f>
        <v/>
      </c>
      <c r="D17" s="35" t="n"/>
      <c r="E17" s="35" t="n"/>
      <c r="F17" s="36">
        <f>IF(OR(C17="",D17="",E17=""),"",C17*D17*E17)</f>
        <v/>
      </c>
      <c r="G17" s="37" t="n">
        <v>0.2</v>
      </c>
      <c r="H17" s="36">
        <f>IF(F17="","",F17*(1+G17))</f>
        <v/>
      </c>
      <c r="I17" s="35" t="inlineStr">
        <is>
          <t>TRY</t>
        </is>
      </c>
      <c r="J17" s="38">
        <f>IFERROR(VLOOKUP(I17,'Kur Bilgisi'!$A$6:$C$9,3,FALSE),"")</f>
        <v/>
      </c>
      <c r="K17" s="36">
        <f>IF(OR(H17="",J17=""),"",H17*J17)</f>
        <v/>
      </c>
    </row>
    <row r="18" ht="20.25" customHeight="1" s="164">
      <c r="A18" s="33" t="n"/>
      <c r="B18" s="34">
        <f>IFERROR(VLOOKUP(A18,Urunler!$A$2:$C$11,2,FALSE),"")</f>
        <v/>
      </c>
      <c r="C18" s="34">
        <f>IFERROR(VLOOKUP(A18,Urunler!$A$2:$C$11,3,FALSE),"")</f>
        <v/>
      </c>
      <c r="D18" s="35" t="n"/>
      <c r="E18" s="35" t="n"/>
      <c r="F18" s="36">
        <f>IF(OR(C18="",D18="",E18=""),"",C18*D18*E18)</f>
        <v/>
      </c>
      <c r="G18" s="37" t="n">
        <v>0.2</v>
      </c>
      <c r="H18" s="36">
        <f>IF(F18="","",F18*(1+G18))</f>
        <v/>
      </c>
      <c r="I18" s="35" t="inlineStr">
        <is>
          <t>TRY</t>
        </is>
      </c>
      <c r="J18" s="38">
        <f>IFERROR(VLOOKUP(I18,'Kur Bilgisi'!$A$6:$C$9,3,FALSE),"")</f>
        <v/>
      </c>
      <c r="K18" s="36">
        <f>IF(OR(H18="",J18=""),"",H18*J18)</f>
        <v/>
      </c>
    </row>
    <row r="19" ht="20.25" customHeight="1" s="164">
      <c r="A19" s="33" t="n"/>
      <c r="B19" s="34">
        <f>IFERROR(VLOOKUP(A19,Urunler!$A$2:$C$11,2,FALSE),"")</f>
        <v/>
      </c>
      <c r="C19" s="34">
        <f>IFERROR(VLOOKUP(A19,Urunler!$A$2:$C$11,3,FALSE),"")</f>
        <v/>
      </c>
      <c r="D19" s="35" t="n"/>
      <c r="E19" s="35" t="n"/>
      <c r="F19" s="36">
        <f>IF(OR(C19="",D19="",E19=""),"",C19*D19*E19)</f>
        <v/>
      </c>
      <c r="G19" s="37" t="n">
        <v>0.2</v>
      </c>
      <c r="H19" s="36">
        <f>IF(F19="","",F19*(1+G19))</f>
        <v/>
      </c>
      <c r="I19" s="35" t="inlineStr">
        <is>
          <t>TRY</t>
        </is>
      </c>
      <c r="J19" s="38">
        <f>IFERROR(VLOOKUP(I19,'Kur Bilgisi'!$A$6:$C$9,3,FALSE),"")</f>
        <v/>
      </c>
      <c r="K19" s="36">
        <f>IF(OR(H19="",J19=""),"",H19*J19)</f>
        <v/>
      </c>
    </row>
    <row r="20" ht="20.25" customHeight="1" s="164">
      <c r="A20" s="33" t="n"/>
      <c r="B20" s="34">
        <f>IFERROR(VLOOKUP(A20,Urunler!$A$2:$C$11,2,FALSE),"")</f>
        <v/>
      </c>
      <c r="C20" s="34">
        <f>IFERROR(VLOOKUP(A20,Urunler!$A$2:$C$11,3,FALSE),"")</f>
        <v/>
      </c>
      <c r="D20" s="35" t="n"/>
      <c r="E20" s="35" t="n"/>
      <c r="F20" s="36">
        <f>IF(OR(C20="",D20="",E20=""),"",C20*D20*E20)</f>
        <v/>
      </c>
      <c r="G20" s="37" t="n">
        <v>0.2</v>
      </c>
      <c r="H20" s="36">
        <f>IF(F20="","",F20*(1+G20))</f>
        <v/>
      </c>
      <c r="I20" s="35" t="inlineStr">
        <is>
          <t>TRY</t>
        </is>
      </c>
      <c r="J20" s="38">
        <f>IFERROR(VLOOKUP(I20,'Kur Bilgisi'!$A$6:$C$9,3,FALSE),"")</f>
        <v/>
      </c>
      <c r="K20" s="36">
        <f>IF(OR(H20="",J20=""),"",H20*J20)</f>
        <v/>
      </c>
    </row>
    <row r="21" ht="20.25" customHeight="1" s="164">
      <c r="A21" s="33" t="n"/>
      <c r="B21" s="34">
        <f>IFERROR(VLOOKUP(A21,Urunler!$A$2:$C$11,2,FALSE),"")</f>
        <v/>
      </c>
      <c r="C21" s="34">
        <f>IFERROR(VLOOKUP(A21,Urunler!$A$2:$C$11,3,FALSE),"")</f>
        <v/>
      </c>
      <c r="D21" s="35" t="n"/>
      <c r="E21" s="35" t="n"/>
      <c r="F21" s="36">
        <f>IF(OR(C21="",D21="",E21=""),"",C21*D21*E21)</f>
        <v/>
      </c>
      <c r="G21" s="37" t="n">
        <v>0.2</v>
      </c>
      <c r="H21" s="36">
        <f>IF(F21="","",F21*(1+G21))</f>
        <v/>
      </c>
      <c r="I21" s="35" t="inlineStr">
        <is>
          <t>TRY</t>
        </is>
      </c>
      <c r="J21" s="38">
        <f>IFERROR(VLOOKUP(I21,'Kur Bilgisi'!$A$6:$C$9,3,FALSE),"")</f>
        <v/>
      </c>
      <c r="K21" s="36">
        <f>IF(OR(H21="",J21=""),"",H21*J21)</f>
        <v/>
      </c>
    </row>
    <row r="22" ht="20.25" customHeight="1" s="164">
      <c r="A22" s="33" t="n"/>
      <c r="B22" s="34">
        <f>IFERROR(VLOOKUP(A22,Urunler!$A$2:$C$11,2,FALSE),"")</f>
        <v/>
      </c>
      <c r="C22" s="34">
        <f>IFERROR(VLOOKUP(A22,Urunler!$A$2:$C$11,3,FALSE),"")</f>
        <v/>
      </c>
      <c r="D22" s="35" t="n"/>
      <c r="E22" s="35" t="n"/>
      <c r="F22" s="36">
        <f>IF(OR(C22="",D22="",E22=""),"",C22*D22*E22)</f>
        <v/>
      </c>
      <c r="G22" s="37" t="n">
        <v>0.2</v>
      </c>
      <c r="H22" s="36">
        <f>IF(F22="","",F22*(1+G22))</f>
        <v/>
      </c>
      <c r="I22" s="35" t="inlineStr">
        <is>
          <t>TRY</t>
        </is>
      </c>
      <c r="J22" s="38">
        <f>IFERROR(VLOOKUP(I22,'Kur Bilgisi'!$A$6:$C$9,3,FALSE),"")</f>
        <v/>
      </c>
      <c r="K22" s="36">
        <f>IF(OR(H22="",J22=""),"",H22*J22)</f>
        <v/>
      </c>
    </row>
    <row r="23" ht="20.25" customHeight="1" s="164">
      <c r="A23" s="33" t="n"/>
      <c r="B23" s="34">
        <f>IFERROR(VLOOKUP(A23,Urunler!$A$2:$C$11,2,FALSE),"")</f>
        <v/>
      </c>
      <c r="C23" s="34">
        <f>IFERROR(VLOOKUP(A23,Urunler!$A$2:$C$11,3,FALSE),"")</f>
        <v/>
      </c>
      <c r="D23" s="35" t="n"/>
      <c r="E23" s="35" t="n"/>
      <c r="F23" s="36">
        <f>IF(OR(C23="",D23="",E23=""),"",C23*D23*E23)</f>
        <v/>
      </c>
      <c r="G23" s="37" t="n">
        <v>0.2</v>
      </c>
      <c r="H23" s="36">
        <f>IF(F23="","",F23*(1+G23))</f>
        <v/>
      </c>
      <c r="I23" s="35" t="inlineStr">
        <is>
          <t>TRY</t>
        </is>
      </c>
      <c r="J23" s="38">
        <f>IFERROR(VLOOKUP(I23,'Kur Bilgisi'!$A$6:$C$9,3,FALSE),"")</f>
        <v/>
      </c>
      <c r="K23" s="36">
        <f>IF(OR(H23="",J23=""),"",H23*J23)</f>
        <v/>
      </c>
    </row>
    <row r="24" ht="20.25" customHeight="1" s="164">
      <c r="A24" s="33" t="n"/>
      <c r="B24" s="34">
        <f>IFERROR(VLOOKUP(A24,Urunler!$A$2:$C$11,2,FALSE),"")</f>
        <v/>
      </c>
      <c r="C24" s="34">
        <f>IFERROR(VLOOKUP(A24,Urunler!$A$2:$C$11,3,FALSE),"")</f>
        <v/>
      </c>
      <c r="D24" s="35" t="n"/>
      <c r="E24" s="35" t="n"/>
      <c r="F24" s="36">
        <f>IF(OR(C24="",D24="",E24=""),"",C24*D24*E24)</f>
        <v/>
      </c>
      <c r="G24" s="37" t="n">
        <v>0.2</v>
      </c>
      <c r="H24" s="36">
        <f>IF(F24="","",F24*(1+G24))</f>
        <v/>
      </c>
      <c r="I24" s="35" t="inlineStr">
        <is>
          <t>TRY</t>
        </is>
      </c>
      <c r="J24" s="38">
        <f>IFERROR(VLOOKUP(I24,'Kur Bilgisi'!$A$6:$C$9,3,FALSE),"")</f>
        <v/>
      </c>
      <c r="K24" s="36">
        <f>IF(OR(H24="",J24=""),"",H24*J24)</f>
        <v/>
      </c>
    </row>
    <row r="25" ht="20.25" customHeight="1" s="164">
      <c r="A25" s="33" t="n"/>
      <c r="B25" s="34">
        <f>IFERROR(VLOOKUP(A25,Urunler!$A$2:$C$11,2,FALSE),"")</f>
        <v/>
      </c>
      <c r="C25" s="34">
        <f>IFERROR(VLOOKUP(A25,Urunler!$A$2:$C$11,3,FALSE),"")</f>
        <v/>
      </c>
      <c r="D25" s="35" t="n"/>
      <c r="E25" s="35" t="n"/>
      <c r="F25" s="36">
        <f>IF(OR(C25="",D25="",E25=""),"",C25*D25*E25)</f>
        <v/>
      </c>
      <c r="G25" s="37" t="n">
        <v>0.2</v>
      </c>
      <c r="H25" s="36">
        <f>IF(F25="","",F25*(1+G25))</f>
        <v/>
      </c>
      <c r="I25" s="35" t="inlineStr">
        <is>
          <t>TRY</t>
        </is>
      </c>
      <c r="J25" s="38">
        <f>IFERROR(VLOOKUP(I25,'Kur Bilgisi'!$A$6:$C$9,3,FALSE),"")</f>
        <v/>
      </c>
      <c r="K25" s="36">
        <f>IF(OR(H25="",J25=""),"",H25*J25)</f>
        <v/>
      </c>
    </row>
    <row r="26" ht="20.25" customHeight="1" s="164">
      <c r="A26" s="33" t="n"/>
      <c r="B26" s="34">
        <f>IFERROR(VLOOKUP(A26,Urunler!$A$2:$C$11,2,FALSE),"")</f>
        <v/>
      </c>
      <c r="C26" s="34">
        <f>IFERROR(VLOOKUP(A26,Urunler!$A$2:$C$11,3,FALSE),"")</f>
        <v/>
      </c>
      <c r="D26" s="35" t="n"/>
      <c r="E26" s="35" t="n"/>
      <c r="F26" s="36">
        <f>IF(OR(C26="",D26="",E26=""),"",C26*D26*E26)</f>
        <v/>
      </c>
      <c r="G26" s="37" t="n">
        <v>0.2</v>
      </c>
      <c r="H26" s="36">
        <f>IF(F26="","",F26*(1+G26))</f>
        <v/>
      </c>
      <c r="I26" s="35" t="inlineStr">
        <is>
          <t>TRY</t>
        </is>
      </c>
      <c r="J26" s="38">
        <f>IFERROR(VLOOKUP(I26,'Kur Bilgisi'!$A$6:$C$9,3,FALSE),"")</f>
        <v/>
      </c>
      <c r="K26" s="36">
        <f>IF(OR(H26="",J26=""),"",H26*J26)</f>
        <v/>
      </c>
    </row>
    <row r="27" ht="20.25" customHeight="1" s="164">
      <c r="A27" s="33" t="n"/>
      <c r="B27" s="34">
        <f>IFERROR(VLOOKUP(A27,Urunler!$A$2:$C$11,2,FALSE),"")</f>
        <v/>
      </c>
      <c r="C27" s="34">
        <f>IFERROR(VLOOKUP(A27,Urunler!$A$2:$C$11,3,FALSE),"")</f>
        <v/>
      </c>
      <c r="D27" s="35" t="n"/>
      <c r="E27" s="35" t="n"/>
      <c r="F27" s="36">
        <f>IF(OR(C27="",D27="",E27=""),"",C27*D27*E27)</f>
        <v/>
      </c>
      <c r="G27" s="37" t="n">
        <v>0.2</v>
      </c>
      <c r="H27" s="36">
        <f>IF(F27="","",F27*(1+G27))</f>
        <v/>
      </c>
      <c r="I27" s="35" t="inlineStr">
        <is>
          <t>TRY</t>
        </is>
      </c>
      <c r="J27" s="38">
        <f>IFERROR(VLOOKUP(I27,'Kur Bilgisi'!$A$6:$C$9,3,FALSE),"")</f>
        <v/>
      </c>
      <c r="K27" s="36">
        <f>IF(OR(H27="",J27=""),"",H27*J27)</f>
        <v/>
      </c>
    </row>
    <row r="28" ht="20.25" customHeight="1" s="164">
      <c r="A28" s="33" t="n"/>
      <c r="B28" s="34">
        <f>IFERROR(VLOOKUP(A28,Urunler!$A$2:$C$11,2,FALSE),"")</f>
        <v/>
      </c>
      <c r="C28" s="34">
        <f>IFERROR(VLOOKUP(A28,Urunler!$A$2:$C$11,3,FALSE),"")</f>
        <v/>
      </c>
      <c r="D28" s="35" t="n"/>
      <c r="E28" s="35" t="n"/>
      <c r="F28" s="36">
        <f>IF(OR(C28="",D28="",E28=""),"",C28*D28*E28)</f>
        <v/>
      </c>
      <c r="G28" s="37" t="n">
        <v>0.2</v>
      </c>
      <c r="H28" s="36">
        <f>IF(F28="","",F28*(1+G28))</f>
        <v/>
      </c>
      <c r="I28" s="35" t="inlineStr">
        <is>
          <t>TRY</t>
        </is>
      </c>
      <c r="J28" s="38">
        <f>IFERROR(VLOOKUP(I28,'Kur Bilgisi'!$A$6:$C$9,3,FALSE),"")</f>
        <v/>
      </c>
      <c r="K28" s="36">
        <f>IF(OR(H28="",J28=""),"",H28*J28)</f>
        <v/>
      </c>
    </row>
    <row r="29" ht="20.25" customHeight="1" s="164">
      <c r="A29" s="33" t="n"/>
      <c r="B29" s="34">
        <f>IFERROR(VLOOKUP(A29,Urunler!$A$2:$C$11,2,FALSE),"")</f>
        <v/>
      </c>
      <c r="C29" s="34">
        <f>IFERROR(VLOOKUP(A29,Urunler!$A$2:$C$11,3,FALSE),"")</f>
        <v/>
      </c>
      <c r="D29" s="35" t="n"/>
      <c r="E29" s="35" t="n"/>
      <c r="F29" s="36">
        <f>IF(OR(C29="",D29="",E29=""),"",C29*D29*E29)</f>
        <v/>
      </c>
      <c r="G29" s="37" t="n">
        <v>0.2</v>
      </c>
      <c r="H29" s="36">
        <f>IF(F29="","",F29*(1+G29))</f>
        <v/>
      </c>
      <c r="I29" s="35" t="inlineStr">
        <is>
          <t>TRY</t>
        </is>
      </c>
      <c r="J29" s="38">
        <f>IFERROR(VLOOKUP(I29,'Kur Bilgisi'!$A$6:$C$9,3,FALSE),"")</f>
        <v/>
      </c>
      <c r="K29" s="36">
        <f>IF(OR(H29="",J29=""),"",H29*J29)</f>
        <v/>
      </c>
    </row>
    <row r="30" ht="20.25" customHeight="1" s="164">
      <c r="A30" s="33" t="n"/>
      <c r="B30" s="34">
        <f>IFERROR(VLOOKUP(A30,Urunler!$A$2:$C$11,2,FALSE),"")</f>
        <v/>
      </c>
      <c r="C30" s="34">
        <f>IFERROR(VLOOKUP(A30,Urunler!$A$2:$C$11,3,FALSE),"")</f>
        <v/>
      </c>
      <c r="D30" s="35" t="n"/>
      <c r="E30" s="35" t="n"/>
      <c r="F30" s="36">
        <f>IF(OR(C30="",D30="",E30=""),"",C30*D30*E30)</f>
        <v/>
      </c>
      <c r="G30" s="37" t="n">
        <v>0.2</v>
      </c>
      <c r="H30" s="36">
        <f>IF(F30="","",F30*(1+G30))</f>
        <v/>
      </c>
      <c r="I30" s="35" t="inlineStr">
        <is>
          <t>TRY</t>
        </is>
      </c>
      <c r="J30" s="38">
        <f>IFERROR(VLOOKUP(I30,'Kur Bilgisi'!$A$6:$C$9,3,FALSE),"")</f>
        <v/>
      </c>
      <c r="K30" s="36">
        <f>IF(OR(H30="",J30=""),"",H30*J30)</f>
        <v/>
      </c>
    </row>
    <row r="31" ht="21.75" customHeight="1" s="164">
      <c r="A31" s="141" t="inlineStr">
        <is>
          <t>Not: Birim fiyatlar seçilen para birimindedir. TL tutarlar, Kur Bilgisi sayfasındaki İş Bankası döviz satış kuru üzerinden hesaplanır.</t>
        </is>
      </c>
      <c r="G31" s="26" t="n"/>
      <c r="H31" s="143" t="inlineStr">
        <is>
          <t>Ara Toplam (TL)</t>
        </is>
      </c>
      <c r="I31" s="267" t="n"/>
      <c r="J31" s="268" t="n"/>
      <c r="K31" s="31">
        <f>SUMPRODUCT(F8:F30,J8:J30)</f>
        <v/>
      </c>
    </row>
    <row r="32" ht="21.75" customHeight="1" s="164">
      <c r="G32" s="26" t="n"/>
      <c r="H32" s="111" t="inlineStr">
        <is>
          <t>KDV (TL)</t>
        </is>
      </c>
      <c r="I32" s="269" t="n"/>
      <c r="J32" s="270" t="n"/>
      <c r="K32" s="29">
        <f>SUMPRODUCT(F8:F30,G8:G30,J8:J30)</f>
        <v/>
      </c>
    </row>
    <row r="33" ht="21.75" customHeight="1" s="164">
      <c r="G33" s="26" t="n"/>
      <c r="H33" s="138" t="inlineStr">
        <is>
          <t>GENEL TOPLAM (TL)</t>
        </is>
      </c>
      <c r="I33" s="271" t="n"/>
      <c r="J33" s="272" t="n"/>
      <c r="K33" s="30">
        <f>SUM(K8:K30)</f>
        <v/>
      </c>
    </row>
    <row r="34" ht="24" customHeight="1" s="164">
      <c r="A34" s="137" t="inlineStr">
        <is>
          <t>NOTLAR</t>
        </is>
      </c>
      <c r="B34" s="269" t="n"/>
      <c r="C34" s="269" t="n"/>
      <c r="D34" s="269" t="n"/>
      <c r="E34" s="269" t="n"/>
      <c r="F34" s="269" t="n"/>
      <c r="G34" s="27" t="n"/>
      <c r="H34" s="125" t="inlineStr">
        <is>
          <t>KAŞE VE İMZA</t>
        </is>
      </c>
      <c r="I34" s="269" t="n"/>
      <c r="J34" s="269" t="n"/>
      <c r="K34" s="270" t="n"/>
    </row>
    <row r="35" ht="24" customHeight="1" s="164">
      <c r="A35" s="159" t="inlineStr">
        <is>
          <t>Teklife ilişkin açıklamalarınızı buraya yazınız.</t>
        </is>
      </c>
      <c r="B35" s="271" t="n"/>
      <c r="C35" s="271" t="n"/>
      <c r="D35" s="271" t="n"/>
      <c r="E35" s="271" t="n"/>
      <c r="F35" s="285" t="n"/>
      <c r="G35" s="28" t="n"/>
      <c r="H35" s="116" t="n"/>
      <c r="I35" s="271" t="n"/>
      <c r="J35" s="271" t="n"/>
      <c r="K35" s="272" t="n"/>
    </row>
    <row r="36" ht="24" customHeight="1" s="164">
      <c r="A36" s="278" t="n"/>
      <c r="F36" s="286" t="n"/>
      <c r="G36" s="28" t="n"/>
      <c r="H36" s="278" t="n"/>
      <c r="K36" s="279" t="n"/>
    </row>
    <row r="37" ht="24" customHeight="1" s="164">
      <c r="A37" s="278" t="n"/>
      <c r="F37" s="286" t="n"/>
      <c r="G37" s="28" t="n"/>
      <c r="H37" s="278" t="n"/>
      <c r="K37" s="279" t="n"/>
    </row>
    <row r="38" ht="24" customHeight="1" s="164">
      <c r="A38" s="278" t="n"/>
      <c r="F38" s="286" t="n"/>
      <c r="G38" s="28" t="n"/>
      <c r="H38" s="278" t="n"/>
      <c r="K38" s="279" t="n"/>
    </row>
    <row r="39" ht="24" customHeight="1" s="164">
      <c r="A39" s="283" t="n"/>
      <c r="B39" s="267" t="n"/>
      <c r="C39" s="267" t="n"/>
      <c r="D39" s="267" t="n"/>
      <c r="E39" s="267" t="n"/>
      <c r="F39" s="287" t="n"/>
      <c r="G39" s="28" t="n"/>
      <c r="H39" s="283" t="n"/>
      <c r="I39" s="267" t="n"/>
      <c r="J39" s="267" t="n"/>
      <c r="K39" s="268" t="n"/>
    </row>
    <row r="40" ht="20.25" customHeight="1" s="164">
      <c r="A40" s="114" t="inlineStr">
        <is>
          <t>Birim fiyatlar seçilen para birimindedir. TL tutarlar, Kur Bilgisi sayfasındaki İş Bankası döviz satış kuru üzerinden hesaplanır.</t>
        </is>
      </c>
    </row>
    <row r="41" ht="5.25" customHeight="1" s="164"/>
  </sheetData>
  <mergeCells count="24">
    <mergeCell ref="D3:G3"/>
    <mergeCell ref="J5:K5"/>
    <mergeCell ref="B3:C3"/>
    <mergeCell ref="H4:I4"/>
    <mergeCell ref="D5:G5"/>
    <mergeCell ref="A6:K6"/>
    <mergeCell ref="H32:J32"/>
    <mergeCell ref="B1:K2"/>
    <mergeCell ref="H33:J33"/>
    <mergeCell ref="J4:K4"/>
    <mergeCell ref="H35:K39"/>
    <mergeCell ref="H34:K34"/>
    <mergeCell ref="A35:F39"/>
    <mergeCell ref="A34:F34"/>
    <mergeCell ref="A40:K40"/>
    <mergeCell ref="A1:A5"/>
    <mergeCell ref="H3:I3"/>
    <mergeCell ref="J3:K3"/>
    <mergeCell ref="A31:F33"/>
    <mergeCell ref="B5:C5"/>
    <mergeCell ref="H31:J31"/>
    <mergeCell ref="H5:I5"/>
    <mergeCell ref="B4:C4"/>
    <mergeCell ref="D4:G4"/>
  </mergeCells>
  <dataValidations count="5">
    <dataValidation sqref="G8:G30" showDropDown="0" showInputMessage="1" showErrorMessage="1" allowBlank="1" errorTitle="Geçersiz KDV" error="KDV oranı %0 ile %100 arasında olmalıdır." type="decimal">
      <formula1>0</formula1>
      <formula2>1</formula2>
    </dataValidation>
    <dataValidation sqref="E8:E30" showDropDown="0" showInputMessage="1" showErrorMessage="1" allowBlank="1" errorTitle="Geçersiz fiyat" error="Birim fiyat 0 veya daha büyük olmalıdır." type="decimal" operator="greaterThanOrEqual">
      <formula1>0</formula1>
    </dataValidation>
    <dataValidation sqref="D8:D30" showDropDown="0" showInputMessage="1" showErrorMessage="1" allowBlank="1" errorTitle="Geçersiz miktar" error="Miktar 1 veya daha büyük tam sayı olmalıdır." type="whole" operator="greaterThanOrEqual">
      <formula1>1</formula1>
    </dataValidation>
    <dataValidation sqref="A8:A30" showDropDown="0" showInputMessage="1" showErrorMessage="1" allowBlank="1" errorTitle="Geçersiz ürün" error="Lütfen listeden bir ürün seçin." promptTitle="Ürün seçimi" prompt="Açılır listeden ürün seçin." type="list">
      <formula1>"Y.S. HELYUM GAZI,SAF HELYUM GAZI,Y.S. ARGON GAZI,Y.S. AZOT GAZI,SAF HIDROJEN GAZI,Y.S. HIDROJEN GAZI,Y.S. OKSIJEN GAZI,Y.S. KURUHAVA GAZI (4.8 GRADE),Y.S. KURUHAVA GAZI (5.0 GRADE),P10 GAZI"</formula1>
    </dataValidation>
    <dataValidation sqref="I8:I30" showDropDown="0" showInputMessage="1" showErrorMessage="1" allowBlank="1" type="list">
      <formula1>"TRY,USD,EUR,GBP"</formula1>
    </dataValidation>
  </dataValidations>
  <printOptions horizontalCentered="1" verticalCentered="1" gridLinesSet="0"/>
  <pageMargins left="0.2362204724409449" right="0.2362204724409449" top="0.2362204724409449" bottom="0.2362204724409449" header="0" footer="0"/>
  <pageSetup orientation="portrait" paperSize="9" scale="70" firstPageNumber="0" horizontalDpi="0" verticalDpi="0"/>
</worksheet>
</file>

<file path=xl/worksheets/sheet18.xml><?xml version="1.0" encoding="utf-8"?>
<worksheet xmlns="http://schemas.openxmlformats.org/spreadsheetml/2006/main">
  <sheetPr codeName="Sayfa18">
    <outlinePr summaryBelow="1" summaryRight="1"/>
    <pageSetUpPr/>
  </sheetPr>
  <dimension ref="A1:F14"/>
  <sheetViews>
    <sheetView workbookViewId="0">
      <selection activeCell="Q6" sqref="Q6"/>
    </sheetView>
  </sheetViews>
  <sheetFormatPr baseColWidth="8" defaultRowHeight="15"/>
  <cols>
    <col width="26.140625" bestFit="1" customWidth="1" style="164" min="1" max="1"/>
    <col width="16.5703125" bestFit="1" customWidth="1" style="164" min="2" max="2"/>
    <col width="34" bestFit="1" customWidth="1" style="164" min="3" max="3"/>
    <col width="10" bestFit="1" customWidth="1" style="164" min="4" max="4"/>
  </cols>
  <sheetData>
    <row r="1" ht="21" customHeight="1" s="164">
      <c r="A1" s="224" t="inlineStr">
        <is>
          <t>TEKLİF SİSTEMİ AYARLARI</t>
        </is>
      </c>
      <c r="E1" s="241" t="n"/>
      <c r="F1" s="241" t="n"/>
    </row>
    <row r="2" ht="21" customHeight="1" s="164">
      <c r="E2" s="241" t="n"/>
      <c r="F2" s="241" t="n"/>
    </row>
    <row r="3">
      <c r="A3" s="231" t="n"/>
      <c r="B3" s="231" t="n"/>
      <c r="C3" s="231" t="n"/>
      <c r="D3" s="231" t="n"/>
    </row>
    <row r="4">
      <c r="A4" s="231" t="inlineStr">
        <is>
          <t>Ayar</t>
        </is>
      </c>
      <c r="B4" s="231" t="inlineStr">
        <is>
          <t>Değer</t>
        </is>
      </c>
      <c r="C4" s="231" t="inlineStr">
        <is>
          <t>Açıklama</t>
        </is>
      </c>
      <c r="D4" s="231" t="inlineStr">
        <is>
          <t>Durum</t>
        </is>
      </c>
    </row>
    <row r="5">
      <c r="A5" s="231" t="inlineStr">
        <is>
          <t>Teklif No Öneki</t>
        </is>
      </c>
      <c r="B5" s="231" t="inlineStr">
        <is>
          <t>TKL</t>
        </is>
      </c>
      <c r="C5" s="231" t="inlineStr">
        <is>
          <t>Otomatik teklif numarası öneki</t>
        </is>
      </c>
      <c r="D5" s="231" t="inlineStr">
        <is>
          <t>Etkin</t>
        </is>
      </c>
    </row>
    <row r="6">
      <c r="A6" s="231" t="inlineStr">
        <is>
          <t>Son Teklif Sırası</t>
        </is>
      </c>
      <c r="B6" s="231" t="n">
        <v>1</v>
      </c>
      <c r="C6" s="231" t="inlineStr">
        <is>
          <t>Arşivleme makrosu bu değeri artırır</t>
        </is>
      </c>
      <c r="D6" s="231" t="inlineStr">
        <is>
          <t>Başlangıç</t>
        </is>
      </c>
    </row>
    <row r="7">
      <c r="A7" s="231" t="inlineStr">
        <is>
          <t>Varsayılan Geçerlilik (Gün)</t>
        </is>
      </c>
      <c r="B7" s="231" t="n">
        <v>30</v>
      </c>
      <c r="C7" s="231" t="inlineStr">
        <is>
          <t>Yeni tekliflerde kullanılır</t>
        </is>
      </c>
      <c r="D7" s="231" t="inlineStr">
        <is>
          <t>Etkin</t>
        </is>
      </c>
    </row>
    <row r="8">
      <c r="A8" s="231" t="inlineStr">
        <is>
          <t>Varsayılan KDV</t>
        </is>
      </c>
      <c r="B8" s="57" t="n">
        <v>0.2</v>
      </c>
      <c r="C8" s="231" t="inlineStr">
        <is>
          <t>Yeni satırlarda kullanılır</t>
        </is>
      </c>
      <c r="D8" s="231" t="inlineStr">
        <is>
          <t>Etkin</t>
        </is>
      </c>
    </row>
    <row r="9">
      <c r="A9" s="231" t="inlineStr">
        <is>
          <t>Genel İskonto</t>
        </is>
      </c>
      <c r="B9" s="57" t="n">
        <v>0</v>
      </c>
      <c r="C9" s="231" t="inlineStr">
        <is>
          <t>Toplamlar hesaplanırken uygulanır</t>
        </is>
      </c>
      <c r="D9" s="231" t="inlineStr">
        <is>
          <t>Etkin</t>
        </is>
      </c>
    </row>
    <row r="10">
      <c r="A10" s="231" t="inlineStr">
        <is>
          <t>Ödeme Koşulu</t>
        </is>
      </c>
      <c r="B10" s="231" t="inlineStr">
        <is>
          <t>30 gün</t>
        </is>
      </c>
      <c r="C10" s="231" t="inlineStr">
        <is>
          <t>Teklif notlarında gösterilir</t>
        </is>
      </c>
      <c r="D10" s="231" t="inlineStr">
        <is>
          <t>Etkin</t>
        </is>
      </c>
    </row>
    <row r="11">
      <c r="A11" s="231" t="inlineStr">
        <is>
          <t>Teslimat Koşulu</t>
        </is>
      </c>
      <c r="B11" s="231" t="inlineStr">
        <is>
          <t>Mutabakata göre</t>
        </is>
      </c>
      <c r="C11" s="231" t="inlineStr">
        <is>
          <t>Teklif notlarında gösterilir</t>
        </is>
      </c>
      <c r="D11" s="231" t="inlineStr">
        <is>
          <t>Etkin</t>
        </is>
      </c>
    </row>
    <row r="12">
      <c r="A12" s="98" t="inlineStr">
        <is>
          <t>Yönetici Onay Eşiği (TL)</t>
        </is>
      </c>
      <c r="B12" s="99" t="n">
        <v>250000</v>
      </c>
      <c r="C12" s="98" t="inlineStr">
        <is>
          <t>Bu tutar ve üzerindeki teklifler onay gerektirir</t>
        </is>
      </c>
      <c r="D12" s="98" t="inlineStr">
        <is>
          <t>Etkin</t>
        </is>
      </c>
    </row>
    <row r="13">
      <c r="A13" t="inlineStr">
        <is>
          <t>İskonto Onay Eşiği</t>
        </is>
      </c>
      <c r="B13" s="51" t="n">
        <v>0.1</v>
      </c>
      <c r="C13" t="inlineStr">
        <is>
          <t>Bu oranın üzerindeki iskonto onay gerektirir</t>
        </is>
      </c>
      <c r="D13" t="inlineStr">
        <is>
          <t>Etkin</t>
        </is>
      </c>
    </row>
    <row r="14">
      <c r="A14" t="inlineStr">
        <is>
          <t>Kur Bayatlık Eşiği (Saat)</t>
        </is>
      </c>
      <c r="B14" s="100" t="n">
        <v>12</v>
      </c>
      <c r="C14" t="inlineStr">
        <is>
          <t>Daha eski kur verisi yenilenmelidir</t>
        </is>
      </c>
      <c r="D14" t="inlineStr">
        <is>
          <t>Etkin</t>
        </is>
      </c>
    </row>
  </sheetData>
  <mergeCells count="1">
    <mergeCell ref="A1:D2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>
  <sheetPr codeName="Sayfa19">
    <outlinePr summaryBelow="1" summaryRight="1"/>
    <pageSetUpPr/>
  </sheetPr>
  <dimension ref="A1:F5"/>
  <sheetViews>
    <sheetView workbookViewId="0">
      <selection activeCell="Q6" sqref="Q6"/>
    </sheetView>
  </sheetViews>
  <sheetFormatPr baseColWidth="8" defaultRowHeight="15"/>
  <cols>
    <col width="8.85546875" bestFit="1" customWidth="1" style="164" min="1" max="1"/>
    <col width="9.28515625" bestFit="1" customWidth="1" style="164" min="2" max="2"/>
    <col width="10.85546875" bestFit="1" customWidth="1" style="164" min="3" max="3"/>
    <col width="10.5703125" bestFit="1" customWidth="1" style="164" min="4" max="4"/>
    <col width="9" bestFit="1" customWidth="1" style="164" min="5" max="5"/>
    <col width="8.28515625" bestFit="1" customWidth="1" style="164" min="6" max="6"/>
  </cols>
  <sheetData>
    <row r="1">
      <c r="A1" s="224" t="inlineStr">
        <is>
          <t>MÜŞTERİ VERİ TABANI</t>
        </is>
      </c>
    </row>
    <row r="2"/>
    <row r="3">
      <c r="A3" s="231" t="n"/>
      <c r="B3" s="231" t="n"/>
      <c r="C3" s="231" t="n"/>
      <c r="D3" s="231" t="n"/>
      <c r="E3" s="231" t="n"/>
      <c r="F3" s="231" t="n"/>
    </row>
    <row r="4">
      <c r="A4" s="231" t="inlineStr">
        <is>
          <t>Firma</t>
        </is>
      </c>
      <c r="B4" s="231" t="inlineStr">
        <is>
          <t>Yetkili</t>
        </is>
      </c>
      <c r="C4" s="231" t="inlineStr">
        <is>
          <t>E-posta</t>
        </is>
      </c>
      <c r="D4" s="231" t="inlineStr">
        <is>
          <t>Telefon</t>
        </is>
      </c>
      <c r="E4" s="231" t="inlineStr">
        <is>
          <t>Adres</t>
        </is>
      </c>
      <c r="F4" s="231" t="inlineStr">
        <is>
          <t>Aktif</t>
        </is>
      </c>
    </row>
    <row r="5">
      <c r="A5" s="231" t="n"/>
      <c r="B5" s="231" t="n"/>
      <c r="C5" s="231" t="n"/>
      <c r="D5" s="231" t="n"/>
      <c r="E5" s="231" t="n"/>
      <c r="F5" s="231" t="b">
        <v>1</v>
      </c>
    </row>
  </sheetData>
  <mergeCells count="1">
    <mergeCell ref="A1:F2"/>
  </mergeCell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0.xml><?xml version="1.0" encoding="utf-8"?>
<worksheet xmlns="http://schemas.openxmlformats.org/spreadsheetml/2006/main">
  <sheetPr codeName="Sayfa20">
    <outlinePr summaryBelow="1" summaryRight="1"/>
    <pageSetUpPr/>
  </sheetPr>
  <dimension ref="A1:K1000"/>
  <sheetViews>
    <sheetView workbookViewId="0">
      <selection activeCell="Q6" sqref="Q6"/>
    </sheetView>
  </sheetViews>
  <sheetFormatPr baseColWidth="8" defaultRowHeight="15"/>
  <cols>
    <col width="15" bestFit="1" customWidth="1" style="164" min="1" max="1"/>
    <col width="11.28515625" bestFit="1" customWidth="1" style="164" min="2" max="2"/>
    <col width="10.7109375" bestFit="1" customWidth="1" style="164" min="3" max="3"/>
    <col width="13.85546875" bestFit="1" customWidth="1" style="164" min="4" max="4"/>
    <col width="10.140625" bestFit="1" customWidth="1" style="164" min="5" max="5"/>
    <col width="18.7109375" bestFit="1" customWidth="1" style="164" min="6" max="6"/>
    <col width="14.5703125" bestFit="1" customWidth="1" style="164" min="7" max="7"/>
    <col width="20.7109375" bestFit="1" customWidth="1" style="164" min="8" max="8"/>
    <col width="12.140625" bestFit="1" customWidth="1" style="164" min="9" max="9"/>
    <col width="11.7109375" bestFit="1" customWidth="1" style="164" min="10" max="10"/>
    <col width="6.85546875" bestFit="1" customWidth="1" style="164" min="11" max="11"/>
  </cols>
  <sheetData>
    <row r="1">
      <c r="A1" s="224" t="inlineStr">
        <is>
          <t>TEKLİF ARŞİVİ VE TAKİP</t>
        </is>
      </c>
    </row>
    <row r="2"/>
    <row r="3">
      <c r="A3" s="231" t="n"/>
      <c r="B3" s="231" t="n"/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</row>
    <row r="4">
      <c r="A4" s="231" t="inlineStr">
        <is>
          <t>Teklif No</t>
        </is>
      </c>
      <c r="B4" s="231" t="inlineStr">
        <is>
          <t>Tarih</t>
        </is>
      </c>
      <c r="C4" s="231" t="inlineStr">
        <is>
          <t>Müşteri</t>
        </is>
      </c>
      <c r="D4" s="231" t="inlineStr">
        <is>
          <t>Tutar (TL)</t>
        </is>
      </c>
      <c r="E4" s="231" t="inlineStr">
        <is>
          <t>Durum</t>
        </is>
      </c>
      <c r="F4" s="231" t="inlineStr">
        <is>
          <t>Geçerlilik Tarihi</t>
        </is>
      </c>
      <c r="G4" s="231" t="inlineStr">
        <is>
          <t>Takip Tarihi</t>
        </is>
      </c>
      <c r="H4" s="231" t="inlineStr">
        <is>
          <t>Kazanma Olasılığı</t>
        </is>
      </c>
      <c r="I4" s="231" t="inlineStr">
        <is>
          <t>PDF Yolu</t>
        </is>
      </c>
      <c r="J4" s="231" t="inlineStr">
        <is>
          <t>Sorumlu</t>
        </is>
      </c>
      <c r="K4" s="231" t="inlineStr">
        <is>
          <t>Not</t>
        </is>
      </c>
    </row>
    <row r="5">
      <c r="A5" s="231" t="n"/>
      <c r="B5" s="298" t="n"/>
      <c r="C5" s="231" t="n"/>
      <c r="D5" s="232" t="n"/>
      <c r="E5" s="231" t="n"/>
      <c r="F5" s="298" t="n"/>
      <c r="G5" s="298" t="n"/>
      <c r="H5" s="57" t="n"/>
      <c r="I5" s="231" t="n"/>
      <c r="J5" s="231" t="n"/>
      <c r="K5" s="231" t="n"/>
    </row>
    <row r="6">
      <c r="B6" s="299" t="n"/>
      <c r="D6" s="53" t="n"/>
      <c r="F6" s="299" t="n"/>
      <c r="G6" s="299" t="n"/>
      <c r="H6" s="51" t="n"/>
    </row>
    <row r="7">
      <c r="B7" s="299" t="n"/>
      <c r="D7" s="53" t="n"/>
      <c r="F7" s="299" t="n"/>
      <c r="G7" s="299" t="n"/>
      <c r="H7" s="51" t="n"/>
    </row>
    <row r="8">
      <c r="B8" s="299" t="n"/>
      <c r="D8" s="53" t="n"/>
      <c r="F8" s="299" t="n"/>
      <c r="G8" s="299" t="n"/>
      <c r="H8" s="51" t="n"/>
    </row>
    <row r="9">
      <c r="B9" s="299" t="n"/>
      <c r="D9" s="53" t="n"/>
      <c r="F9" s="299" t="n"/>
      <c r="G9" s="299" t="n"/>
      <c r="H9" s="51" t="n"/>
    </row>
    <row r="10">
      <c r="B10" s="299" t="n"/>
      <c r="D10" s="53" t="n"/>
      <c r="F10" s="299" t="n"/>
      <c r="G10" s="299" t="n"/>
      <c r="H10" s="51" t="n"/>
    </row>
    <row r="11">
      <c r="B11" s="299" t="n"/>
      <c r="D11" s="53" t="n"/>
      <c r="F11" s="299" t="n"/>
      <c r="G11" s="299" t="n"/>
      <c r="H11" s="51" t="n"/>
    </row>
    <row r="12">
      <c r="B12" s="299" t="n"/>
      <c r="D12" s="53" t="n"/>
      <c r="F12" s="299" t="n"/>
      <c r="G12" s="299" t="n"/>
      <c r="H12" s="51" t="n"/>
    </row>
    <row r="13">
      <c r="B13" s="299" t="n"/>
      <c r="D13" s="53" t="n"/>
      <c r="F13" s="299" t="n"/>
      <c r="G13" s="299" t="n"/>
      <c r="H13" s="51" t="n"/>
    </row>
    <row r="14">
      <c r="B14" s="299" t="n"/>
      <c r="D14" s="53" t="n"/>
      <c r="F14" s="299" t="n"/>
      <c r="G14" s="299" t="n"/>
      <c r="H14" s="51" t="n"/>
    </row>
    <row r="15">
      <c r="B15" s="299" t="n"/>
      <c r="D15" s="53" t="n"/>
      <c r="F15" s="299" t="n"/>
      <c r="G15" s="299" t="n"/>
      <c r="H15" s="51" t="n"/>
    </row>
    <row r="16">
      <c r="B16" s="299" t="n"/>
      <c r="D16" s="53" t="n"/>
      <c r="F16" s="299" t="n"/>
      <c r="G16" s="299" t="n"/>
      <c r="H16" s="51" t="n"/>
    </row>
    <row r="17">
      <c r="B17" s="299" t="n"/>
      <c r="D17" s="53" t="n"/>
      <c r="F17" s="299" t="n"/>
      <c r="G17" s="299" t="n"/>
      <c r="H17" s="51" t="n"/>
    </row>
    <row r="18">
      <c r="B18" s="299" t="n"/>
      <c r="D18" s="53" t="n"/>
      <c r="F18" s="299" t="n"/>
      <c r="G18" s="299" t="n"/>
      <c r="H18" s="51" t="n"/>
    </row>
    <row r="19">
      <c r="B19" s="299" t="n"/>
      <c r="D19" s="53" t="n"/>
      <c r="F19" s="299" t="n"/>
      <c r="G19" s="299" t="n"/>
      <c r="H19" s="51" t="n"/>
    </row>
    <row r="20">
      <c r="B20" s="299" t="n"/>
      <c r="D20" s="53" t="n"/>
      <c r="F20" s="299" t="n"/>
      <c r="G20" s="299" t="n"/>
      <c r="H20" s="51" t="n"/>
    </row>
    <row r="21">
      <c r="B21" s="299" t="n"/>
      <c r="D21" s="53" t="n"/>
      <c r="F21" s="299" t="n"/>
      <c r="G21" s="299" t="n"/>
      <c r="H21" s="51" t="n"/>
    </row>
    <row r="22">
      <c r="B22" s="299" t="n"/>
      <c r="D22" s="53" t="n"/>
      <c r="F22" s="299" t="n"/>
      <c r="G22" s="299" t="n"/>
      <c r="H22" s="51" t="n"/>
    </row>
    <row r="23">
      <c r="B23" s="299" t="n"/>
      <c r="D23" s="53" t="n"/>
      <c r="F23" s="299" t="n"/>
      <c r="G23" s="299" t="n"/>
      <c r="H23" s="51" t="n"/>
    </row>
    <row r="24">
      <c r="B24" s="299" t="n"/>
      <c r="D24" s="53" t="n"/>
      <c r="F24" s="299" t="n"/>
      <c r="G24" s="299" t="n"/>
      <c r="H24" s="51" t="n"/>
    </row>
    <row r="25">
      <c r="B25" s="299" t="n"/>
      <c r="D25" s="53" t="n"/>
      <c r="F25" s="299" t="n"/>
      <c r="G25" s="299" t="n"/>
      <c r="H25" s="51" t="n"/>
    </row>
    <row r="26">
      <c r="B26" s="299" t="n"/>
      <c r="D26" s="53" t="n"/>
      <c r="F26" s="299" t="n"/>
      <c r="G26" s="299" t="n"/>
      <c r="H26" s="51" t="n"/>
    </row>
    <row r="27">
      <c r="B27" s="299" t="n"/>
      <c r="D27" s="53" t="n"/>
      <c r="F27" s="299" t="n"/>
      <c r="G27" s="299" t="n"/>
      <c r="H27" s="51" t="n"/>
    </row>
    <row r="28">
      <c r="B28" s="299" t="n"/>
      <c r="D28" s="53" t="n"/>
      <c r="F28" s="299" t="n"/>
      <c r="G28" s="299" t="n"/>
      <c r="H28" s="51" t="n"/>
    </row>
    <row r="29">
      <c r="B29" s="299" t="n"/>
      <c r="D29" s="53" t="n"/>
      <c r="F29" s="299" t="n"/>
      <c r="G29" s="299" t="n"/>
      <c r="H29" s="51" t="n"/>
    </row>
    <row r="30">
      <c r="B30" s="299" t="n"/>
      <c r="D30" s="53" t="n"/>
      <c r="F30" s="299" t="n"/>
      <c r="G30" s="299" t="n"/>
      <c r="H30" s="51" t="n"/>
    </row>
    <row r="31">
      <c r="B31" s="299" t="n"/>
      <c r="D31" s="53" t="n"/>
      <c r="F31" s="299" t="n"/>
      <c r="G31" s="299" t="n"/>
      <c r="H31" s="51" t="n"/>
    </row>
    <row r="32">
      <c r="B32" s="299" t="n"/>
      <c r="D32" s="53" t="n"/>
      <c r="F32" s="299" t="n"/>
      <c r="G32" s="299" t="n"/>
      <c r="H32" s="51" t="n"/>
    </row>
    <row r="33">
      <c r="B33" s="299" t="n"/>
      <c r="D33" s="53" t="n"/>
      <c r="F33" s="299" t="n"/>
      <c r="G33" s="299" t="n"/>
      <c r="H33" s="51" t="n"/>
    </row>
    <row r="34">
      <c r="B34" s="299" t="n"/>
      <c r="D34" s="53" t="n"/>
      <c r="F34" s="299" t="n"/>
      <c r="G34" s="299" t="n"/>
      <c r="H34" s="51" t="n"/>
    </row>
    <row r="35">
      <c r="B35" s="299" t="n"/>
      <c r="D35" s="53" t="n"/>
      <c r="F35" s="299" t="n"/>
      <c r="G35" s="299" t="n"/>
      <c r="H35" s="51" t="n"/>
    </row>
    <row r="36">
      <c r="B36" s="299" t="n"/>
      <c r="D36" s="53" t="n"/>
      <c r="F36" s="299" t="n"/>
      <c r="G36" s="299" t="n"/>
      <c r="H36" s="51" t="n"/>
    </row>
    <row r="37">
      <c r="B37" s="299" t="n"/>
      <c r="D37" s="53" t="n"/>
      <c r="F37" s="299" t="n"/>
      <c r="G37" s="299" t="n"/>
      <c r="H37" s="51" t="n"/>
    </row>
    <row r="38">
      <c r="B38" s="299" t="n"/>
      <c r="D38" s="53" t="n"/>
      <c r="F38" s="299" t="n"/>
      <c r="G38" s="299" t="n"/>
      <c r="H38" s="51" t="n"/>
    </row>
    <row r="39">
      <c r="B39" s="299" t="n"/>
      <c r="D39" s="53" t="n"/>
      <c r="F39" s="299" t="n"/>
      <c r="G39" s="299" t="n"/>
      <c r="H39" s="51" t="n"/>
    </row>
    <row r="40">
      <c r="B40" s="299" t="n"/>
      <c r="D40" s="53" t="n"/>
      <c r="F40" s="299" t="n"/>
      <c r="G40" s="299" t="n"/>
      <c r="H40" s="51" t="n"/>
    </row>
    <row r="41">
      <c r="B41" s="299" t="n"/>
      <c r="D41" s="53" t="n"/>
      <c r="F41" s="299" t="n"/>
      <c r="G41" s="299" t="n"/>
      <c r="H41" s="51" t="n"/>
    </row>
    <row r="42">
      <c r="B42" s="299" t="n"/>
      <c r="D42" s="53" t="n"/>
      <c r="F42" s="299" t="n"/>
      <c r="G42" s="299" t="n"/>
      <c r="H42" s="51" t="n"/>
    </row>
    <row r="43">
      <c r="B43" s="299" t="n"/>
      <c r="D43" s="53" t="n"/>
      <c r="F43" s="299" t="n"/>
      <c r="G43" s="299" t="n"/>
      <c r="H43" s="51" t="n"/>
    </row>
    <row r="44">
      <c r="B44" s="299" t="n"/>
      <c r="D44" s="53" t="n"/>
      <c r="F44" s="299" t="n"/>
      <c r="G44" s="299" t="n"/>
      <c r="H44" s="51" t="n"/>
    </row>
    <row r="45">
      <c r="B45" s="299" t="n"/>
      <c r="D45" s="53" t="n"/>
      <c r="F45" s="299" t="n"/>
      <c r="G45" s="299" t="n"/>
      <c r="H45" s="51" t="n"/>
    </row>
    <row r="46">
      <c r="B46" s="299" t="n"/>
      <c r="D46" s="53" t="n"/>
      <c r="F46" s="299" t="n"/>
      <c r="G46" s="299" t="n"/>
      <c r="H46" s="51" t="n"/>
    </row>
    <row r="47">
      <c r="B47" s="299" t="n"/>
      <c r="D47" s="53" t="n"/>
      <c r="F47" s="299" t="n"/>
      <c r="G47" s="299" t="n"/>
      <c r="H47" s="51" t="n"/>
    </row>
    <row r="48">
      <c r="B48" s="299" t="n"/>
      <c r="D48" s="53" t="n"/>
      <c r="F48" s="299" t="n"/>
      <c r="G48" s="299" t="n"/>
      <c r="H48" s="51" t="n"/>
    </row>
    <row r="49">
      <c r="B49" s="299" t="n"/>
      <c r="D49" s="53" t="n"/>
      <c r="F49" s="299" t="n"/>
      <c r="G49" s="299" t="n"/>
      <c r="H49" s="51" t="n"/>
    </row>
    <row r="50">
      <c r="B50" s="299" t="n"/>
      <c r="D50" s="53" t="n"/>
      <c r="F50" s="299" t="n"/>
      <c r="G50" s="299" t="n"/>
      <c r="H50" s="51" t="n"/>
    </row>
    <row r="51">
      <c r="B51" s="299" t="n"/>
      <c r="D51" s="53" t="n"/>
      <c r="F51" s="299" t="n"/>
      <c r="G51" s="299" t="n"/>
      <c r="H51" s="51" t="n"/>
    </row>
    <row r="52">
      <c r="B52" s="299" t="n"/>
      <c r="D52" s="53" t="n"/>
      <c r="F52" s="299" t="n"/>
      <c r="G52" s="299" t="n"/>
      <c r="H52" s="51" t="n"/>
    </row>
    <row r="53">
      <c r="B53" s="299" t="n"/>
      <c r="D53" s="53" t="n"/>
      <c r="F53" s="299" t="n"/>
      <c r="G53" s="299" t="n"/>
      <c r="H53" s="51" t="n"/>
    </row>
    <row r="54">
      <c r="B54" s="299" t="n"/>
      <c r="D54" s="53" t="n"/>
      <c r="F54" s="299" t="n"/>
      <c r="G54" s="299" t="n"/>
      <c r="H54" s="51" t="n"/>
    </row>
    <row r="55">
      <c r="B55" s="299" t="n"/>
      <c r="D55" s="53" t="n"/>
      <c r="F55" s="299" t="n"/>
      <c r="G55" s="299" t="n"/>
      <c r="H55" s="51" t="n"/>
    </row>
    <row r="56">
      <c r="B56" s="299" t="n"/>
      <c r="D56" s="53" t="n"/>
      <c r="F56" s="299" t="n"/>
      <c r="G56" s="299" t="n"/>
      <c r="H56" s="51" t="n"/>
    </row>
    <row r="57">
      <c r="B57" s="299" t="n"/>
      <c r="D57" s="53" t="n"/>
      <c r="F57" s="299" t="n"/>
      <c r="G57" s="299" t="n"/>
      <c r="H57" s="51" t="n"/>
    </row>
    <row r="58">
      <c r="B58" s="299" t="n"/>
      <c r="D58" s="53" t="n"/>
      <c r="F58" s="299" t="n"/>
      <c r="G58" s="299" t="n"/>
      <c r="H58" s="51" t="n"/>
    </row>
    <row r="59">
      <c r="B59" s="299" t="n"/>
      <c r="D59" s="53" t="n"/>
      <c r="F59" s="299" t="n"/>
      <c r="G59" s="299" t="n"/>
      <c r="H59" s="51" t="n"/>
    </row>
    <row r="60">
      <c r="B60" s="299" t="n"/>
      <c r="D60" s="53" t="n"/>
      <c r="F60" s="299" t="n"/>
      <c r="G60" s="299" t="n"/>
      <c r="H60" s="51" t="n"/>
    </row>
    <row r="61">
      <c r="B61" s="299" t="n"/>
      <c r="D61" s="53" t="n"/>
      <c r="F61" s="299" t="n"/>
      <c r="G61" s="299" t="n"/>
      <c r="H61" s="51" t="n"/>
    </row>
    <row r="62">
      <c r="B62" s="299" t="n"/>
      <c r="D62" s="53" t="n"/>
      <c r="F62" s="299" t="n"/>
      <c r="G62" s="299" t="n"/>
      <c r="H62" s="51" t="n"/>
    </row>
    <row r="63">
      <c r="B63" s="299" t="n"/>
      <c r="D63" s="53" t="n"/>
      <c r="F63" s="299" t="n"/>
      <c r="G63" s="299" t="n"/>
      <c r="H63" s="51" t="n"/>
    </row>
    <row r="64">
      <c r="B64" s="299" t="n"/>
      <c r="D64" s="53" t="n"/>
      <c r="F64" s="299" t="n"/>
      <c r="G64" s="299" t="n"/>
      <c r="H64" s="51" t="n"/>
    </row>
    <row r="65">
      <c r="B65" s="299" t="n"/>
      <c r="D65" s="53" t="n"/>
      <c r="F65" s="299" t="n"/>
      <c r="G65" s="299" t="n"/>
      <c r="H65" s="51" t="n"/>
    </row>
    <row r="66">
      <c r="B66" s="299" t="n"/>
      <c r="D66" s="53" t="n"/>
      <c r="F66" s="299" t="n"/>
      <c r="G66" s="299" t="n"/>
      <c r="H66" s="51" t="n"/>
    </row>
    <row r="67">
      <c r="B67" s="299" t="n"/>
      <c r="D67" s="53" t="n"/>
      <c r="F67" s="299" t="n"/>
      <c r="G67" s="299" t="n"/>
      <c r="H67" s="51" t="n"/>
    </row>
    <row r="68">
      <c r="B68" s="299" t="n"/>
      <c r="D68" s="53" t="n"/>
      <c r="F68" s="299" t="n"/>
      <c r="G68" s="299" t="n"/>
      <c r="H68" s="51" t="n"/>
    </row>
    <row r="69">
      <c r="B69" s="299" t="n"/>
      <c r="D69" s="53" t="n"/>
      <c r="F69" s="299" t="n"/>
      <c r="G69" s="299" t="n"/>
      <c r="H69" s="51" t="n"/>
    </row>
    <row r="70">
      <c r="B70" s="299" t="n"/>
      <c r="D70" s="53" t="n"/>
      <c r="F70" s="299" t="n"/>
      <c r="G70" s="299" t="n"/>
      <c r="H70" s="51" t="n"/>
    </row>
    <row r="71">
      <c r="B71" s="299" t="n"/>
      <c r="D71" s="53" t="n"/>
      <c r="F71" s="299" t="n"/>
      <c r="G71" s="299" t="n"/>
      <c r="H71" s="51" t="n"/>
    </row>
    <row r="72">
      <c r="B72" s="299" t="n"/>
      <c r="D72" s="53" t="n"/>
      <c r="F72" s="299" t="n"/>
      <c r="G72" s="299" t="n"/>
      <c r="H72" s="51" t="n"/>
    </row>
    <row r="73">
      <c r="B73" s="299" t="n"/>
      <c r="D73" s="53" t="n"/>
      <c r="F73" s="299" t="n"/>
      <c r="G73" s="299" t="n"/>
      <c r="H73" s="51" t="n"/>
    </row>
    <row r="74">
      <c r="B74" s="299" t="n"/>
      <c r="D74" s="53" t="n"/>
      <c r="F74" s="299" t="n"/>
      <c r="G74" s="299" t="n"/>
      <c r="H74" s="51" t="n"/>
    </row>
    <row r="75">
      <c r="B75" s="299" t="n"/>
      <c r="D75" s="53" t="n"/>
      <c r="F75" s="299" t="n"/>
      <c r="G75" s="299" t="n"/>
      <c r="H75" s="51" t="n"/>
    </row>
    <row r="76">
      <c r="B76" s="299" t="n"/>
      <c r="D76" s="53" t="n"/>
      <c r="F76" s="299" t="n"/>
      <c r="G76" s="299" t="n"/>
      <c r="H76" s="51" t="n"/>
    </row>
    <row r="77">
      <c r="B77" s="299" t="n"/>
      <c r="D77" s="53" t="n"/>
      <c r="F77" s="299" t="n"/>
      <c r="G77" s="299" t="n"/>
      <c r="H77" s="51" t="n"/>
    </row>
    <row r="78">
      <c r="B78" s="299" t="n"/>
      <c r="D78" s="53" t="n"/>
      <c r="F78" s="299" t="n"/>
      <c r="G78" s="299" t="n"/>
      <c r="H78" s="51" t="n"/>
    </row>
    <row r="79">
      <c r="B79" s="299" t="n"/>
      <c r="D79" s="53" t="n"/>
      <c r="F79" s="299" t="n"/>
      <c r="G79" s="299" t="n"/>
      <c r="H79" s="51" t="n"/>
    </row>
    <row r="80">
      <c r="B80" s="299" t="n"/>
      <c r="D80" s="53" t="n"/>
      <c r="F80" s="299" t="n"/>
      <c r="G80" s="299" t="n"/>
      <c r="H80" s="51" t="n"/>
    </row>
    <row r="81">
      <c r="B81" s="299" t="n"/>
      <c r="D81" s="53" t="n"/>
      <c r="F81" s="299" t="n"/>
      <c r="G81" s="299" t="n"/>
      <c r="H81" s="51" t="n"/>
    </row>
    <row r="82">
      <c r="B82" s="299" t="n"/>
      <c r="D82" s="53" t="n"/>
      <c r="F82" s="299" t="n"/>
      <c r="G82" s="299" t="n"/>
      <c r="H82" s="51" t="n"/>
    </row>
    <row r="83">
      <c r="B83" s="299" t="n"/>
      <c r="D83" s="53" t="n"/>
      <c r="F83" s="299" t="n"/>
      <c r="G83" s="299" t="n"/>
      <c r="H83" s="51" t="n"/>
    </row>
    <row r="84">
      <c r="B84" s="299" t="n"/>
      <c r="D84" s="53" t="n"/>
      <c r="F84" s="299" t="n"/>
      <c r="G84" s="299" t="n"/>
      <c r="H84" s="51" t="n"/>
    </row>
    <row r="85">
      <c r="B85" s="299" t="n"/>
      <c r="D85" s="53" t="n"/>
      <c r="F85" s="299" t="n"/>
      <c r="G85" s="299" t="n"/>
      <c r="H85" s="51" t="n"/>
    </row>
    <row r="86">
      <c r="B86" s="299" t="n"/>
      <c r="D86" s="53" t="n"/>
      <c r="F86" s="299" t="n"/>
      <c r="G86" s="299" t="n"/>
      <c r="H86" s="51" t="n"/>
    </row>
    <row r="87">
      <c r="B87" s="299" t="n"/>
      <c r="D87" s="53" t="n"/>
      <c r="F87" s="299" t="n"/>
      <c r="G87" s="299" t="n"/>
      <c r="H87" s="51" t="n"/>
    </row>
    <row r="88">
      <c r="B88" s="299" t="n"/>
      <c r="D88" s="53" t="n"/>
      <c r="F88" s="299" t="n"/>
      <c r="G88" s="299" t="n"/>
      <c r="H88" s="51" t="n"/>
    </row>
    <row r="89">
      <c r="B89" s="299" t="n"/>
      <c r="D89" s="53" t="n"/>
      <c r="F89" s="299" t="n"/>
      <c r="G89" s="299" t="n"/>
      <c r="H89" s="51" t="n"/>
    </row>
    <row r="90">
      <c r="B90" s="299" t="n"/>
      <c r="D90" s="53" t="n"/>
      <c r="F90" s="299" t="n"/>
      <c r="G90" s="299" t="n"/>
      <c r="H90" s="51" t="n"/>
    </row>
    <row r="91">
      <c r="B91" s="299" t="n"/>
      <c r="D91" s="53" t="n"/>
      <c r="F91" s="299" t="n"/>
      <c r="G91" s="299" t="n"/>
      <c r="H91" s="51" t="n"/>
    </row>
    <row r="92">
      <c r="B92" s="299" t="n"/>
      <c r="D92" s="53" t="n"/>
      <c r="F92" s="299" t="n"/>
      <c r="G92" s="299" t="n"/>
      <c r="H92" s="51" t="n"/>
    </row>
    <row r="93">
      <c r="B93" s="299" t="n"/>
      <c r="D93" s="53" t="n"/>
      <c r="F93" s="299" t="n"/>
      <c r="G93" s="299" t="n"/>
      <c r="H93" s="51" t="n"/>
    </row>
    <row r="94">
      <c r="B94" s="299" t="n"/>
      <c r="D94" s="53" t="n"/>
      <c r="F94" s="299" t="n"/>
      <c r="G94" s="299" t="n"/>
      <c r="H94" s="51" t="n"/>
    </row>
    <row r="95">
      <c r="B95" s="299" t="n"/>
      <c r="D95" s="53" t="n"/>
      <c r="F95" s="299" t="n"/>
      <c r="G95" s="299" t="n"/>
      <c r="H95" s="51" t="n"/>
    </row>
    <row r="96">
      <c r="B96" s="299" t="n"/>
      <c r="D96" s="53" t="n"/>
      <c r="F96" s="299" t="n"/>
      <c r="G96" s="299" t="n"/>
      <c r="H96" s="51" t="n"/>
    </row>
    <row r="97">
      <c r="B97" s="299" t="n"/>
      <c r="D97" s="53" t="n"/>
      <c r="F97" s="299" t="n"/>
      <c r="G97" s="299" t="n"/>
      <c r="H97" s="51" t="n"/>
    </row>
    <row r="98">
      <c r="B98" s="299" t="n"/>
      <c r="D98" s="53" t="n"/>
      <c r="F98" s="299" t="n"/>
      <c r="G98" s="299" t="n"/>
      <c r="H98" s="51" t="n"/>
    </row>
    <row r="99">
      <c r="B99" s="299" t="n"/>
      <c r="D99" s="53" t="n"/>
      <c r="F99" s="299" t="n"/>
      <c r="G99" s="299" t="n"/>
      <c r="H99" s="51" t="n"/>
    </row>
    <row r="100">
      <c r="B100" s="299" t="n"/>
      <c r="D100" s="53" t="n"/>
      <c r="F100" s="299" t="n"/>
      <c r="G100" s="299" t="n"/>
      <c r="H100" s="51" t="n"/>
    </row>
    <row r="101">
      <c r="B101" s="299" t="n"/>
      <c r="D101" s="53" t="n"/>
      <c r="F101" s="299" t="n"/>
      <c r="G101" s="299" t="n"/>
      <c r="H101" s="51" t="n"/>
    </row>
    <row r="102">
      <c r="B102" s="299" t="n"/>
      <c r="D102" s="53" t="n"/>
      <c r="F102" s="299" t="n"/>
      <c r="G102" s="299" t="n"/>
      <c r="H102" s="51" t="n"/>
    </row>
    <row r="103">
      <c r="B103" s="299" t="n"/>
      <c r="D103" s="53" t="n"/>
      <c r="F103" s="299" t="n"/>
      <c r="G103" s="299" t="n"/>
      <c r="H103" s="51" t="n"/>
    </row>
    <row r="104">
      <c r="B104" s="299" t="n"/>
      <c r="D104" s="53" t="n"/>
      <c r="F104" s="299" t="n"/>
      <c r="G104" s="299" t="n"/>
      <c r="H104" s="51" t="n"/>
    </row>
    <row r="105">
      <c r="B105" s="299" t="n"/>
      <c r="D105" s="53" t="n"/>
      <c r="F105" s="299" t="n"/>
      <c r="G105" s="299" t="n"/>
      <c r="H105" s="51" t="n"/>
    </row>
    <row r="106">
      <c r="B106" s="299" t="n"/>
      <c r="D106" s="53" t="n"/>
      <c r="F106" s="299" t="n"/>
      <c r="G106" s="299" t="n"/>
      <c r="H106" s="51" t="n"/>
    </row>
    <row r="107">
      <c r="B107" s="299" t="n"/>
      <c r="D107" s="53" t="n"/>
      <c r="F107" s="299" t="n"/>
      <c r="G107" s="299" t="n"/>
      <c r="H107" s="51" t="n"/>
    </row>
    <row r="108">
      <c r="B108" s="299" t="n"/>
      <c r="D108" s="53" t="n"/>
      <c r="F108" s="299" t="n"/>
      <c r="G108" s="299" t="n"/>
      <c r="H108" s="51" t="n"/>
    </row>
    <row r="109">
      <c r="B109" s="299" t="n"/>
      <c r="D109" s="53" t="n"/>
      <c r="F109" s="299" t="n"/>
      <c r="G109" s="299" t="n"/>
      <c r="H109" s="51" t="n"/>
    </row>
    <row r="110">
      <c r="B110" s="299" t="n"/>
      <c r="D110" s="53" t="n"/>
      <c r="F110" s="299" t="n"/>
      <c r="G110" s="299" t="n"/>
      <c r="H110" s="51" t="n"/>
    </row>
    <row r="111">
      <c r="B111" s="299" t="n"/>
      <c r="D111" s="53" t="n"/>
      <c r="F111" s="299" t="n"/>
      <c r="G111" s="299" t="n"/>
      <c r="H111" s="51" t="n"/>
    </row>
    <row r="112">
      <c r="B112" s="299" t="n"/>
      <c r="D112" s="53" t="n"/>
      <c r="F112" s="299" t="n"/>
      <c r="G112" s="299" t="n"/>
      <c r="H112" s="51" t="n"/>
    </row>
    <row r="113">
      <c r="B113" s="299" t="n"/>
      <c r="D113" s="53" t="n"/>
      <c r="F113" s="299" t="n"/>
      <c r="G113" s="299" t="n"/>
      <c r="H113" s="51" t="n"/>
    </row>
    <row r="114">
      <c r="B114" s="299" t="n"/>
      <c r="D114" s="53" t="n"/>
      <c r="F114" s="299" t="n"/>
      <c r="G114" s="299" t="n"/>
      <c r="H114" s="51" t="n"/>
    </row>
    <row r="115">
      <c r="B115" s="299" t="n"/>
      <c r="D115" s="53" t="n"/>
      <c r="F115" s="299" t="n"/>
      <c r="G115" s="299" t="n"/>
      <c r="H115" s="51" t="n"/>
    </row>
    <row r="116">
      <c r="B116" s="299" t="n"/>
      <c r="D116" s="53" t="n"/>
      <c r="F116" s="299" t="n"/>
      <c r="G116" s="299" t="n"/>
      <c r="H116" s="51" t="n"/>
    </row>
    <row r="117">
      <c r="B117" s="299" t="n"/>
      <c r="D117" s="53" t="n"/>
      <c r="F117" s="299" t="n"/>
      <c r="G117" s="299" t="n"/>
      <c r="H117" s="51" t="n"/>
    </row>
    <row r="118">
      <c r="B118" s="299" t="n"/>
      <c r="D118" s="53" t="n"/>
      <c r="F118" s="299" t="n"/>
      <c r="G118" s="299" t="n"/>
      <c r="H118" s="51" t="n"/>
    </row>
    <row r="119">
      <c r="B119" s="299" t="n"/>
      <c r="D119" s="53" t="n"/>
      <c r="F119" s="299" t="n"/>
      <c r="G119" s="299" t="n"/>
      <c r="H119" s="51" t="n"/>
    </row>
    <row r="120">
      <c r="B120" s="299" t="n"/>
      <c r="D120" s="53" t="n"/>
      <c r="F120" s="299" t="n"/>
      <c r="G120" s="299" t="n"/>
      <c r="H120" s="51" t="n"/>
    </row>
    <row r="121">
      <c r="B121" s="299" t="n"/>
      <c r="D121" s="53" t="n"/>
      <c r="F121" s="299" t="n"/>
      <c r="G121" s="299" t="n"/>
      <c r="H121" s="51" t="n"/>
    </row>
    <row r="122">
      <c r="B122" s="299" t="n"/>
      <c r="D122" s="53" t="n"/>
      <c r="F122" s="299" t="n"/>
      <c r="G122" s="299" t="n"/>
      <c r="H122" s="51" t="n"/>
    </row>
    <row r="123">
      <c r="B123" s="299" t="n"/>
      <c r="D123" s="53" t="n"/>
      <c r="F123" s="299" t="n"/>
      <c r="G123" s="299" t="n"/>
      <c r="H123" s="51" t="n"/>
    </row>
    <row r="124">
      <c r="B124" s="299" t="n"/>
      <c r="D124" s="53" t="n"/>
      <c r="F124" s="299" t="n"/>
      <c r="G124" s="299" t="n"/>
      <c r="H124" s="51" t="n"/>
    </row>
    <row r="125">
      <c r="B125" s="299" t="n"/>
      <c r="D125" s="53" t="n"/>
      <c r="F125" s="299" t="n"/>
      <c r="G125" s="299" t="n"/>
      <c r="H125" s="51" t="n"/>
    </row>
    <row r="126">
      <c r="B126" s="299" t="n"/>
      <c r="D126" s="53" t="n"/>
      <c r="F126" s="299" t="n"/>
      <c r="G126" s="299" t="n"/>
      <c r="H126" s="51" t="n"/>
    </row>
    <row r="127">
      <c r="B127" s="299" t="n"/>
      <c r="D127" s="53" t="n"/>
      <c r="F127" s="299" t="n"/>
      <c r="G127" s="299" t="n"/>
      <c r="H127" s="51" t="n"/>
    </row>
    <row r="128">
      <c r="B128" s="299" t="n"/>
      <c r="D128" s="53" t="n"/>
      <c r="F128" s="299" t="n"/>
      <c r="G128" s="299" t="n"/>
      <c r="H128" s="51" t="n"/>
    </row>
    <row r="129">
      <c r="B129" s="299" t="n"/>
      <c r="D129" s="53" t="n"/>
      <c r="F129" s="299" t="n"/>
      <c r="G129" s="299" t="n"/>
      <c r="H129" s="51" t="n"/>
    </row>
    <row r="130">
      <c r="B130" s="299" t="n"/>
      <c r="D130" s="53" t="n"/>
      <c r="F130" s="299" t="n"/>
      <c r="G130" s="299" t="n"/>
      <c r="H130" s="51" t="n"/>
    </row>
    <row r="131">
      <c r="B131" s="299" t="n"/>
      <c r="D131" s="53" t="n"/>
      <c r="F131" s="299" t="n"/>
      <c r="G131" s="299" t="n"/>
      <c r="H131" s="51" t="n"/>
    </row>
    <row r="132">
      <c r="B132" s="299" t="n"/>
      <c r="D132" s="53" t="n"/>
      <c r="F132" s="299" t="n"/>
      <c r="G132" s="299" t="n"/>
      <c r="H132" s="51" t="n"/>
    </row>
    <row r="133">
      <c r="B133" s="299" t="n"/>
      <c r="D133" s="53" t="n"/>
      <c r="F133" s="299" t="n"/>
      <c r="G133" s="299" t="n"/>
      <c r="H133" s="51" t="n"/>
    </row>
    <row r="134">
      <c r="B134" s="299" t="n"/>
      <c r="D134" s="53" t="n"/>
      <c r="F134" s="299" t="n"/>
      <c r="G134" s="299" t="n"/>
      <c r="H134" s="51" t="n"/>
    </row>
    <row r="135">
      <c r="B135" s="299" t="n"/>
      <c r="D135" s="53" t="n"/>
      <c r="F135" s="299" t="n"/>
      <c r="G135" s="299" t="n"/>
      <c r="H135" s="51" t="n"/>
    </row>
    <row r="136">
      <c r="B136" s="299" t="n"/>
      <c r="D136" s="53" t="n"/>
      <c r="F136" s="299" t="n"/>
      <c r="G136" s="299" t="n"/>
      <c r="H136" s="51" t="n"/>
    </row>
    <row r="137">
      <c r="B137" s="299" t="n"/>
      <c r="D137" s="53" t="n"/>
      <c r="F137" s="299" t="n"/>
      <c r="G137" s="299" t="n"/>
      <c r="H137" s="51" t="n"/>
    </row>
    <row r="138">
      <c r="B138" s="299" t="n"/>
      <c r="D138" s="53" t="n"/>
      <c r="F138" s="299" t="n"/>
      <c r="G138" s="299" t="n"/>
      <c r="H138" s="51" t="n"/>
    </row>
    <row r="139">
      <c r="B139" s="299" t="n"/>
      <c r="D139" s="53" t="n"/>
      <c r="F139" s="299" t="n"/>
      <c r="G139" s="299" t="n"/>
      <c r="H139" s="51" t="n"/>
    </row>
    <row r="140">
      <c r="B140" s="299" t="n"/>
      <c r="D140" s="53" t="n"/>
      <c r="F140" s="299" t="n"/>
      <c r="G140" s="299" t="n"/>
      <c r="H140" s="51" t="n"/>
    </row>
    <row r="141">
      <c r="B141" s="299" t="n"/>
      <c r="D141" s="53" t="n"/>
      <c r="F141" s="299" t="n"/>
      <c r="G141" s="299" t="n"/>
      <c r="H141" s="51" t="n"/>
    </row>
    <row r="142">
      <c r="B142" s="299" t="n"/>
      <c r="D142" s="53" t="n"/>
      <c r="F142" s="299" t="n"/>
      <c r="G142" s="299" t="n"/>
      <c r="H142" s="51" t="n"/>
    </row>
    <row r="143">
      <c r="B143" s="299" t="n"/>
      <c r="D143" s="53" t="n"/>
      <c r="F143" s="299" t="n"/>
      <c r="G143" s="299" t="n"/>
      <c r="H143" s="51" t="n"/>
    </row>
    <row r="144">
      <c r="B144" s="299" t="n"/>
      <c r="D144" s="53" t="n"/>
      <c r="F144" s="299" t="n"/>
      <c r="G144" s="299" t="n"/>
      <c r="H144" s="51" t="n"/>
    </row>
    <row r="145">
      <c r="B145" s="299" t="n"/>
      <c r="D145" s="53" t="n"/>
      <c r="F145" s="299" t="n"/>
      <c r="G145" s="299" t="n"/>
      <c r="H145" s="51" t="n"/>
    </row>
    <row r="146">
      <c r="B146" s="299" t="n"/>
      <c r="D146" s="53" t="n"/>
      <c r="F146" s="299" t="n"/>
      <c r="G146" s="299" t="n"/>
      <c r="H146" s="51" t="n"/>
    </row>
    <row r="147">
      <c r="B147" s="299" t="n"/>
      <c r="D147" s="53" t="n"/>
      <c r="F147" s="299" t="n"/>
      <c r="G147" s="299" t="n"/>
      <c r="H147" s="51" t="n"/>
    </row>
    <row r="148">
      <c r="B148" s="299" t="n"/>
      <c r="D148" s="53" t="n"/>
      <c r="F148" s="299" t="n"/>
      <c r="G148" s="299" t="n"/>
      <c r="H148" s="51" t="n"/>
    </row>
    <row r="149">
      <c r="B149" s="299" t="n"/>
      <c r="D149" s="53" t="n"/>
      <c r="F149" s="299" t="n"/>
      <c r="G149" s="299" t="n"/>
      <c r="H149" s="51" t="n"/>
    </row>
    <row r="150">
      <c r="B150" s="299" t="n"/>
      <c r="D150" s="53" t="n"/>
      <c r="F150" s="299" t="n"/>
      <c r="G150" s="299" t="n"/>
      <c r="H150" s="51" t="n"/>
    </row>
    <row r="151">
      <c r="B151" s="299" t="n"/>
      <c r="D151" s="53" t="n"/>
      <c r="F151" s="299" t="n"/>
      <c r="G151" s="299" t="n"/>
      <c r="H151" s="51" t="n"/>
    </row>
    <row r="152">
      <c r="B152" s="299" t="n"/>
      <c r="D152" s="53" t="n"/>
      <c r="F152" s="299" t="n"/>
      <c r="G152" s="299" t="n"/>
      <c r="H152" s="51" t="n"/>
    </row>
    <row r="153">
      <c r="B153" s="299" t="n"/>
      <c r="D153" s="53" t="n"/>
      <c r="F153" s="299" t="n"/>
      <c r="G153" s="299" t="n"/>
      <c r="H153" s="51" t="n"/>
    </row>
    <row r="154">
      <c r="B154" s="299" t="n"/>
      <c r="D154" s="53" t="n"/>
      <c r="F154" s="299" t="n"/>
      <c r="G154" s="299" t="n"/>
      <c r="H154" s="51" t="n"/>
    </row>
    <row r="155">
      <c r="B155" s="299" t="n"/>
      <c r="D155" s="53" t="n"/>
      <c r="F155" s="299" t="n"/>
      <c r="G155" s="299" t="n"/>
      <c r="H155" s="51" t="n"/>
    </row>
    <row r="156">
      <c r="B156" s="299" t="n"/>
      <c r="D156" s="53" t="n"/>
      <c r="F156" s="299" t="n"/>
      <c r="G156" s="299" t="n"/>
      <c r="H156" s="51" t="n"/>
    </row>
    <row r="157">
      <c r="B157" s="299" t="n"/>
      <c r="D157" s="53" t="n"/>
      <c r="F157" s="299" t="n"/>
      <c r="G157" s="299" t="n"/>
      <c r="H157" s="51" t="n"/>
    </row>
    <row r="158">
      <c r="B158" s="299" t="n"/>
      <c r="D158" s="53" t="n"/>
      <c r="F158" s="299" t="n"/>
      <c r="G158" s="299" t="n"/>
      <c r="H158" s="51" t="n"/>
    </row>
    <row r="159">
      <c r="B159" s="299" t="n"/>
      <c r="D159" s="53" t="n"/>
      <c r="F159" s="299" t="n"/>
      <c r="G159" s="299" t="n"/>
      <c r="H159" s="51" t="n"/>
    </row>
    <row r="160">
      <c r="B160" s="299" t="n"/>
      <c r="D160" s="53" t="n"/>
      <c r="F160" s="299" t="n"/>
      <c r="G160" s="299" t="n"/>
      <c r="H160" s="51" t="n"/>
    </row>
    <row r="161">
      <c r="B161" s="299" t="n"/>
      <c r="D161" s="53" t="n"/>
      <c r="F161" s="299" t="n"/>
      <c r="G161" s="299" t="n"/>
      <c r="H161" s="51" t="n"/>
    </row>
    <row r="162">
      <c r="B162" s="299" t="n"/>
      <c r="D162" s="53" t="n"/>
      <c r="F162" s="299" t="n"/>
      <c r="G162" s="299" t="n"/>
      <c r="H162" s="51" t="n"/>
    </row>
    <row r="163">
      <c r="B163" s="299" t="n"/>
      <c r="D163" s="53" t="n"/>
      <c r="F163" s="299" t="n"/>
      <c r="G163" s="299" t="n"/>
      <c r="H163" s="51" t="n"/>
    </row>
    <row r="164">
      <c r="B164" s="299" t="n"/>
      <c r="D164" s="53" t="n"/>
      <c r="F164" s="299" t="n"/>
      <c r="G164" s="299" t="n"/>
      <c r="H164" s="51" t="n"/>
    </row>
    <row r="165">
      <c r="B165" s="299" t="n"/>
      <c r="D165" s="53" t="n"/>
      <c r="F165" s="299" t="n"/>
      <c r="G165" s="299" t="n"/>
      <c r="H165" s="51" t="n"/>
    </row>
    <row r="166">
      <c r="B166" s="299" t="n"/>
      <c r="D166" s="53" t="n"/>
      <c r="F166" s="299" t="n"/>
      <c r="G166" s="299" t="n"/>
      <c r="H166" s="51" t="n"/>
    </row>
    <row r="167">
      <c r="B167" s="299" t="n"/>
      <c r="D167" s="53" t="n"/>
      <c r="F167" s="299" t="n"/>
      <c r="G167" s="299" t="n"/>
      <c r="H167" s="51" t="n"/>
    </row>
    <row r="168">
      <c r="B168" s="299" t="n"/>
      <c r="D168" s="53" t="n"/>
      <c r="F168" s="299" t="n"/>
      <c r="G168" s="299" t="n"/>
      <c r="H168" s="51" t="n"/>
    </row>
    <row r="169">
      <c r="B169" s="299" t="n"/>
      <c r="D169" s="53" t="n"/>
      <c r="F169" s="299" t="n"/>
      <c r="G169" s="299" t="n"/>
      <c r="H169" s="51" t="n"/>
    </row>
    <row r="170">
      <c r="B170" s="299" t="n"/>
      <c r="D170" s="53" t="n"/>
      <c r="F170" s="299" t="n"/>
      <c r="G170" s="299" t="n"/>
      <c r="H170" s="51" t="n"/>
    </row>
    <row r="171">
      <c r="B171" s="299" t="n"/>
      <c r="D171" s="53" t="n"/>
      <c r="F171" s="299" t="n"/>
      <c r="G171" s="299" t="n"/>
      <c r="H171" s="51" t="n"/>
    </row>
    <row r="172">
      <c r="B172" s="299" t="n"/>
      <c r="D172" s="53" t="n"/>
      <c r="F172" s="299" t="n"/>
      <c r="G172" s="299" t="n"/>
      <c r="H172" s="51" t="n"/>
    </row>
    <row r="173">
      <c r="B173" s="299" t="n"/>
      <c r="D173" s="53" t="n"/>
      <c r="F173" s="299" t="n"/>
      <c r="G173" s="299" t="n"/>
      <c r="H173" s="51" t="n"/>
    </row>
    <row r="174">
      <c r="B174" s="299" t="n"/>
      <c r="D174" s="53" t="n"/>
      <c r="F174" s="299" t="n"/>
      <c r="G174" s="299" t="n"/>
      <c r="H174" s="51" t="n"/>
    </row>
    <row r="175">
      <c r="B175" s="299" t="n"/>
      <c r="D175" s="53" t="n"/>
      <c r="F175" s="299" t="n"/>
      <c r="G175" s="299" t="n"/>
      <c r="H175" s="51" t="n"/>
    </row>
    <row r="176">
      <c r="B176" s="299" t="n"/>
      <c r="D176" s="53" t="n"/>
      <c r="F176" s="299" t="n"/>
      <c r="G176" s="299" t="n"/>
      <c r="H176" s="51" t="n"/>
    </row>
    <row r="177">
      <c r="B177" s="299" t="n"/>
      <c r="D177" s="53" t="n"/>
      <c r="F177" s="299" t="n"/>
      <c r="G177" s="299" t="n"/>
      <c r="H177" s="51" t="n"/>
    </row>
    <row r="178">
      <c r="B178" s="299" t="n"/>
      <c r="D178" s="53" t="n"/>
      <c r="F178" s="299" t="n"/>
      <c r="G178" s="299" t="n"/>
      <c r="H178" s="51" t="n"/>
    </row>
    <row r="179">
      <c r="B179" s="299" t="n"/>
      <c r="D179" s="53" t="n"/>
      <c r="F179" s="299" t="n"/>
      <c r="G179" s="299" t="n"/>
      <c r="H179" s="51" t="n"/>
    </row>
    <row r="180">
      <c r="B180" s="299" t="n"/>
      <c r="D180" s="53" t="n"/>
      <c r="F180" s="299" t="n"/>
      <c r="G180" s="299" t="n"/>
      <c r="H180" s="51" t="n"/>
    </row>
    <row r="181">
      <c r="B181" s="299" t="n"/>
      <c r="D181" s="53" t="n"/>
      <c r="F181" s="299" t="n"/>
      <c r="G181" s="299" t="n"/>
      <c r="H181" s="51" t="n"/>
    </row>
    <row r="182">
      <c r="B182" s="299" t="n"/>
      <c r="D182" s="53" t="n"/>
      <c r="F182" s="299" t="n"/>
      <c r="G182" s="299" t="n"/>
      <c r="H182" s="51" t="n"/>
    </row>
    <row r="183">
      <c r="B183" s="299" t="n"/>
      <c r="D183" s="53" t="n"/>
      <c r="F183" s="299" t="n"/>
      <c r="G183" s="299" t="n"/>
      <c r="H183" s="51" t="n"/>
    </row>
    <row r="184">
      <c r="B184" s="299" t="n"/>
      <c r="D184" s="53" t="n"/>
      <c r="F184" s="299" t="n"/>
      <c r="G184" s="299" t="n"/>
      <c r="H184" s="51" t="n"/>
    </row>
    <row r="185">
      <c r="B185" s="299" t="n"/>
      <c r="D185" s="53" t="n"/>
      <c r="F185" s="299" t="n"/>
      <c r="G185" s="299" t="n"/>
      <c r="H185" s="51" t="n"/>
    </row>
    <row r="186">
      <c r="B186" s="299" t="n"/>
      <c r="D186" s="53" t="n"/>
      <c r="F186" s="299" t="n"/>
      <c r="G186" s="299" t="n"/>
      <c r="H186" s="51" t="n"/>
    </row>
    <row r="187">
      <c r="B187" s="299" t="n"/>
      <c r="D187" s="53" t="n"/>
      <c r="F187" s="299" t="n"/>
      <c r="G187" s="299" t="n"/>
      <c r="H187" s="51" t="n"/>
    </row>
    <row r="188">
      <c r="B188" s="299" t="n"/>
      <c r="D188" s="53" t="n"/>
      <c r="F188" s="299" t="n"/>
      <c r="G188" s="299" t="n"/>
      <c r="H188" s="51" t="n"/>
    </row>
    <row r="189">
      <c r="B189" s="299" t="n"/>
      <c r="D189" s="53" t="n"/>
      <c r="F189" s="299" t="n"/>
      <c r="G189" s="299" t="n"/>
      <c r="H189" s="51" t="n"/>
    </row>
    <row r="190">
      <c r="B190" s="299" t="n"/>
      <c r="D190" s="53" t="n"/>
      <c r="F190" s="299" t="n"/>
      <c r="G190" s="299" t="n"/>
      <c r="H190" s="51" t="n"/>
    </row>
    <row r="191">
      <c r="B191" s="299" t="n"/>
      <c r="D191" s="53" t="n"/>
      <c r="F191" s="299" t="n"/>
      <c r="G191" s="299" t="n"/>
      <c r="H191" s="51" t="n"/>
    </row>
    <row r="192">
      <c r="B192" s="299" t="n"/>
      <c r="D192" s="53" t="n"/>
      <c r="F192" s="299" t="n"/>
      <c r="G192" s="299" t="n"/>
      <c r="H192" s="51" t="n"/>
    </row>
    <row r="193">
      <c r="B193" s="299" t="n"/>
      <c r="D193" s="53" t="n"/>
      <c r="F193" s="299" t="n"/>
      <c r="G193" s="299" t="n"/>
      <c r="H193" s="51" t="n"/>
    </row>
    <row r="194">
      <c r="B194" s="299" t="n"/>
      <c r="D194" s="53" t="n"/>
      <c r="F194" s="299" t="n"/>
      <c r="G194" s="299" t="n"/>
      <c r="H194" s="51" t="n"/>
    </row>
    <row r="195">
      <c r="B195" s="299" t="n"/>
      <c r="D195" s="53" t="n"/>
      <c r="F195" s="299" t="n"/>
      <c r="G195" s="299" t="n"/>
      <c r="H195" s="51" t="n"/>
    </row>
    <row r="196">
      <c r="B196" s="299" t="n"/>
      <c r="D196" s="53" t="n"/>
      <c r="F196" s="299" t="n"/>
      <c r="G196" s="299" t="n"/>
      <c r="H196" s="51" t="n"/>
    </row>
    <row r="197">
      <c r="B197" s="299" t="n"/>
      <c r="D197" s="53" t="n"/>
      <c r="F197" s="299" t="n"/>
      <c r="G197" s="299" t="n"/>
      <c r="H197" s="51" t="n"/>
    </row>
    <row r="198">
      <c r="B198" s="299" t="n"/>
      <c r="D198" s="53" t="n"/>
      <c r="F198" s="299" t="n"/>
      <c r="G198" s="299" t="n"/>
      <c r="H198" s="51" t="n"/>
    </row>
    <row r="199">
      <c r="B199" s="299" t="n"/>
      <c r="D199" s="53" t="n"/>
      <c r="F199" s="299" t="n"/>
      <c r="G199" s="299" t="n"/>
      <c r="H199" s="51" t="n"/>
    </row>
    <row r="200">
      <c r="B200" s="299" t="n"/>
      <c r="D200" s="53" t="n"/>
      <c r="F200" s="299" t="n"/>
      <c r="G200" s="299" t="n"/>
      <c r="H200" s="51" t="n"/>
    </row>
    <row r="201">
      <c r="B201" s="299" t="n"/>
      <c r="D201" s="53" t="n"/>
      <c r="F201" s="299" t="n"/>
      <c r="G201" s="299" t="n"/>
      <c r="H201" s="51" t="n"/>
    </row>
    <row r="202">
      <c r="B202" s="299" t="n"/>
      <c r="D202" s="53" t="n"/>
      <c r="F202" s="299" t="n"/>
      <c r="G202" s="299" t="n"/>
      <c r="H202" s="51" t="n"/>
    </row>
    <row r="203">
      <c r="B203" s="299" t="n"/>
      <c r="D203" s="53" t="n"/>
      <c r="F203" s="299" t="n"/>
      <c r="G203" s="299" t="n"/>
      <c r="H203" s="51" t="n"/>
    </row>
    <row r="204">
      <c r="B204" s="299" t="n"/>
      <c r="D204" s="53" t="n"/>
      <c r="F204" s="299" t="n"/>
      <c r="G204" s="299" t="n"/>
      <c r="H204" s="51" t="n"/>
    </row>
    <row r="205">
      <c r="B205" s="299" t="n"/>
      <c r="D205" s="53" t="n"/>
      <c r="F205" s="299" t="n"/>
      <c r="G205" s="299" t="n"/>
      <c r="H205" s="51" t="n"/>
    </row>
    <row r="206">
      <c r="B206" s="299" t="n"/>
      <c r="D206" s="53" t="n"/>
      <c r="F206" s="299" t="n"/>
      <c r="G206" s="299" t="n"/>
      <c r="H206" s="51" t="n"/>
    </row>
    <row r="207">
      <c r="B207" s="299" t="n"/>
      <c r="D207" s="53" t="n"/>
      <c r="F207" s="299" t="n"/>
      <c r="G207" s="299" t="n"/>
      <c r="H207" s="51" t="n"/>
    </row>
    <row r="208">
      <c r="B208" s="299" t="n"/>
      <c r="D208" s="53" t="n"/>
      <c r="F208" s="299" t="n"/>
      <c r="G208" s="299" t="n"/>
      <c r="H208" s="51" t="n"/>
    </row>
    <row r="209">
      <c r="B209" s="299" t="n"/>
      <c r="D209" s="53" t="n"/>
      <c r="F209" s="299" t="n"/>
      <c r="G209" s="299" t="n"/>
      <c r="H209" s="51" t="n"/>
    </row>
    <row r="210">
      <c r="B210" s="299" t="n"/>
      <c r="D210" s="53" t="n"/>
      <c r="F210" s="299" t="n"/>
      <c r="G210" s="299" t="n"/>
      <c r="H210" s="51" t="n"/>
    </row>
    <row r="211">
      <c r="B211" s="299" t="n"/>
      <c r="D211" s="53" t="n"/>
      <c r="F211" s="299" t="n"/>
      <c r="G211" s="299" t="n"/>
      <c r="H211" s="51" t="n"/>
    </row>
    <row r="212">
      <c r="B212" s="299" t="n"/>
      <c r="D212" s="53" t="n"/>
      <c r="F212" s="299" t="n"/>
      <c r="G212" s="299" t="n"/>
      <c r="H212" s="51" t="n"/>
    </row>
    <row r="213">
      <c r="B213" s="299" t="n"/>
      <c r="D213" s="53" t="n"/>
      <c r="F213" s="299" t="n"/>
      <c r="G213" s="299" t="n"/>
      <c r="H213" s="51" t="n"/>
    </row>
    <row r="214">
      <c r="B214" s="299" t="n"/>
      <c r="D214" s="53" t="n"/>
      <c r="F214" s="299" t="n"/>
      <c r="G214" s="299" t="n"/>
      <c r="H214" s="51" t="n"/>
    </row>
    <row r="215">
      <c r="B215" s="299" t="n"/>
      <c r="D215" s="53" t="n"/>
      <c r="F215" s="299" t="n"/>
      <c r="G215" s="299" t="n"/>
      <c r="H215" s="51" t="n"/>
    </row>
    <row r="216">
      <c r="B216" s="299" t="n"/>
      <c r="D216" s="53" t="n"/>
      <c r="F216" s="299" t="n"/>
      <c r="G216" s="299" t="n"/>
      <c r="H216" s="51" t="n"/>
    </row>
    <row r="217">
      <c r="B217" s="299" t="n"/>
      <c r="D217" s="53" t="n"/>
      <c r="F217" s="299" t="n"/>
      <c r="G217" s="299" t="n"/>
      <c r="H217" s="51" t="n"/>
    </row>
    <row r="218">
      <c r="B218" s="299" t="n"/>
      <c r="D218" s="53" t="n"/>
      <c r="F218" s="299" t="n"/>
      <c r="G218" s="299" t="n"/>
      <c r="H218" s="51" t="n"/>
    </row>
    <row r="219">
      <c r="B219" s="299" t="n"/>
      <c r="D219" s="53" t="n"/>
      <c r="F219" s="299" t="n"/>
      <c r="G219" s="299" t="n"/>
      <c r="H219" s="51" t="n"/>
    </row>
    <row r="220">
      <c r="B220" s="299" t="n"/>
      <c r="D220" s="53" t="n"/>
      <c r="F220" s="299" t="n"/>
      <c r="G220" s="299" t="n"/>
      <c r="H220" s="51" t="n"/>
    </row>
    <row r="221">
      <c r="B221" s="299" t="n"/>
      <c r="D221" s="53" t="n"/>
      <c r="F221" s="299" t="n"/>
      <c r="G221" s="299" t="n"/>
      <c r="H221" s="51" t="n"/>
    </row>
    <row r="222">
      <c r="B222" s="299" t="n"/>
      <c r="D222" s="53" t="n"/>
      <c r="F222" s="299" t="n"/>
      <c r="G222" s="299" t="n"/>
      <c r="H222" s="51" t="n"/>
    </row>
    <row r="223">
      <c r="B223" s="299" t="n"/>
      <c r="D223" s="53" t="n"/>
      <c r="F223" s="299" t="n"/>
      <c r="G223" s="299" t="n"/>
      <c r="H223" s="51" t="n"/>
    </row>
    <row r="224">
      <c r="B224" s="299" t="n"/>
      <c r="D224" s="53" t="n"/>
      <c r="F224" s="299" t="n"/>
      <c r="G224" s="299" t="n"/>
      <c r="H224" s="51" t="n"/>
    </row>
    <row r="225">
      <c r="B225" s="299" t="n"/>
      <c r="D225" s="53" t="n"/>
      <c r="F225" s="299" t="n"/>
      <c r="G225" s="299" t="n"/>
      <c r="H225" s="51" t="n"/>
    </row>
    <row r="226">
      <c r="B226" s="299" t="n"/>
      <c r="D226" s="53" t="n"/>
      <c r="F226" s="299" t="n"/>
      <c r="G226" s="299" t="n"/>
      <c r="H226" s="51" t="n"/>
    </row>
    <row r="227">
      <c r="B227" s="299" t="n"/>
      <c r="D227" s="53" t="n"/>
      <c r="F227" s="299" t="n"/>
      <c r="G227" s="299" t="n"/>
      <c r="H227" s="51" t="n"/>
    </row>
    <row r="228">
      <c r="B228" s="299" t="n"/>
      <c r="D228" s="53" t="n"/>
      <c r="F228" s="299" t="n"/>
      <c r="G228" s="299" t="n"/>
      <c r="H228" s="51" t="n"/>
    </row>
    <row r="229">
      <c r="B229" s="299" t="n"/>
      <c r="D229" s="53" t="n"/>
      <c r="F229" s="299" t="n"/>
      <c r="G229" s="299" t="n"/>
      <c r="H229" s="51" t="n"/>
    </row>
    <row r="230">
      <c r="B230" s="299" t="n"/>
      <c r="D230" s="53" t="n"/>
      <c r="F230" s="299" t="n"/>
      <c r="G230" s="299" t="n"/>
      <c r="H230" s="51" t="n"/>
    </row>
    <row r="231">
      <c r="B231" s="299" t="n"/>
      <c r="D231" s="53" t="n"/>
      <c r="F231" s="299" t="n"/>
      <c r="G231" s="299" t="n"/>
      <c r="H231" s="51" t="n"/>
    </row>
    <row r="232">
      <c r="B232" s="299" t="n"/>
      <c r="D232" s="53" t="n"/>
      <c r="F232" s="299" t="n"/>
      <c r="G232" s="299" t="n"/>
      <c r="H232" s="51" t="n"/>
    </row>
    <row r="233">
      <c r="B233" s="299" t="n"/>
      <c r="D233" s="53" t="n"/>
      <c r="F233" s="299" t="n"/>
      <c r="G233" s="299" t="n"/>
      <c r="H233" s="51" t="n"/>
    </row>
    <row r="234">
      <c r="B234" s="299" t="n"/>
      <c r="D234" s="53" t="n"/>
      <c r="F234" s="299" t="n"/>
      <c r="G234" s="299" t="n"/>
      <c r="H234" s="51" t="n"/>
    </row>
    <row r="235">
      <c r="B235" s="299" t="n"/>
      <c r="D235" s="53" t="n"/>
      <c r="F235" s="299" t="n"/>
      <c r="G235" s="299" t="n"/>
      <c r="H235" s="51" t="n"/>
    </row>
    <row r="236">
      <c r="B236" s="299" t="n"/>
      <c r="D236" s="53" t="n"/>
      <c r="F236" s="299" t="n"/>
      <c r="G236" s="299" t="n"/>
      <c r="H236" s="51" t="n"/>
    </row>
    <row r="237">
      <c r="B237" s="299" t="n"/>
      <c r="D237" s="53" t="n"/>
      <c r="F237" s="299" t="n"/>
      <c r="G237" s="299" t="n"/>
      <c r="H237" s="51" t="n"/>
    </row>
    <row r="238">
      <c r="B238" s="299" t="n"/>
      <c r="D238" s="53" t="n"/>
      <c r="F238" s="299" t="n"/>
      <c r="G238" s="299" t="n"/>
      <c r="H238" s="51" t="n"/>
    </row>
    <row r="239">
      <c r="B239" s="299" t="n"/>
      <c r="D239" s="53" t="n"/>
      <c r="F239" s="299" t="n"/>
      <c r="G239" s="299" t="n"/>
      <c r="H239" s="51" t="n"/>
    </row>
    <row r="240">
      <c r="B240" s="299" t="n"/>
      <c r="D240" s="53" t="n"/>
      <c r="F240" s="299" t="n"/>
      <c r="G240" s="299" t="n"/>
      <c r="H240" s="51" t="n"/>
    </row>
    <row r="241">
      <c r="B241" s="299" t="n"/>
      <c r="D241" s="53" t="n"/>
      <c r="F241" s="299" t="n"/>
      <c r="G241" s="299" t="n"/>
      <c r="H241" s="51" t="n"/>
    </row>
    <row r="242">
      <c r="B242" s="299" t="n"/>
      <c r="D242" s="53" t="n"/>
      <c r="F242" s="299" t="n"/>
      <c r="G242" s="299" t="n"/>
      <c r="H242" s="51" t="n"/>
    </row>
    <row r="243">
      <c r="B243" s="299" t="n"/>
      <c r="D243" s="53" t="n"/>
      <c r="F243" s="299" t="n"/>
      <c r="G243" s="299" t="n"/>
      <c r="H243" s="51" t="n"/>
    </row>
    <row r="244">
      <c r="B244" s="299" t="n"/>
      <c r="D244" s="53" t="n"/>
      <c r="F244" s="299" t="n"/>
      <c r="G244" s="299" t="n"/>
      <c r="H244" s="51" t="n"/>
    </row>
    <row r="245">
      <c r="B245" s="299" t="n"/>
      <c r="D245" s="53" t="n"/>
      <c r="F245" s="299" t="n"/>
      <c r="G245" s="299" t="n"/>
      <c r="H245" s="51" t="n"/>
    </row>
    <row r="246">
      <c r="B246" s="299" t="n"/>
      <c r="D246" s="53" t="n"/>
      <c r="F246" s="299" t="n"/>
      <c r="G246" s="299" t="n"/>
      <c r="H246" s="51" t="n"/>
    </row>
    <row r="247">
      <c r="B247" s="299" t="n"/>
      <c r="D247" s="53" t="n"/>
      <c r="F247" s="299" t="n"/>
      <c r="G247" s="299" t="n"/>
      <c r="H247" s="51" t="n"/>
    </row>
    <row r="248">
      <c r="B248" s="299" t="n"/>
      <c r="D248" s="53" t="n"/>
      <c r="F248" s="299" t="n"/>
      <c r="G248" s="299" t="n"/>
      <c r="H248" s="51" t="n"/>
    </row>
    <row r="249">
      <c r="B249" s="299" t="n"/>
      <c r="D249" s="53" t="n"/>
      <c r="F249" s="299" t="n"/>
      <c r="G249" s="299" t="n"/>
      <c r="H249" s="51" t="n"/>
    </row>
    <row r="250">
      <c r="B250" s="299" t="n"/>
      <c r="D250" s="53" t="n"/>
      <c r="F250" s="299" t="n"/>
      <c r="G250" s="299" t="n"/>
      <c r="H250" s="51" t="n"/>
    </row>
    <row r="251">
      <c r="B251" s="299" t="n"/>
      <c r="D251" s="53" t="n"/>
      <c r="F251" s="299" t="n"/>
      <c r="G251" s="299" t="n"/>
      <c r="H251" s="51" t="n"/>
    </row>
    <row r="252">
      <c r="B252" s="299" t="n"/>
      <c r="D252" s="53" t="n"/>
      <c r="F252" s="299" t="n"/>
      <c r="G252" s="299" t="n"/>
      <c r="H252" s="51" t="n"/>
    </row>
    <row r="253">
      <c r="B253" s="299" t="n"/>
      <c r="D253" s="53" t="n"/>
      <c r="F253" s="299" t="n"/>
      <c r="G253" s="299" t="n"/>
      <c r="H253" s="51" t="n"/>
    </row>
    <row r="254">
      <c r="B254" s="299" t="n"/>
      <c r="D254" s="53" t="n"/>
      <c r="F254" s="299" t="n"/>
      <c r="G254" s="299" t="n"/>
      <c r="H254" s="51" t="n"/>
    </row>
    <row r="255">
      <c r="B255" s="299" t="n"/>
      <c r="D255" s="53" t="n"/>
      <c r="F255" s="299" t="n"/>
      <c r="G255" s="299" t="n"/>
      <c r="H255" s="51" t="n"/>
    </row>
    <row r="256">
      <c r="B256" s="299" t="n"/>
      <c r="D256" s="53" t="n"/>
      <c r="F256" s="299" t="n"/>
      <c r="G256" s="299" t="n"/>
      <c r="H256" s="51" t="n"/>
    </row>
    <row r="257">
      <c r="B257" s="299" t="n"/>
      <c r="D257" s="53" t="n"/>
      <c r="F257" s="299" t="n"/>
      <c r="G257" s="299" t="n"/>
      <c r="H257" s="51" t="n"/>
    </row>
    <row r="258">
      <c r="B258" s="299" t="n"/>
      <c r="D258" s="53" t="n"/>
      <c r="F258" s="299" t="n"/>
      <c r="G258" s="299" t="n"/>
      <c r="H258" s="51" t="n"/>
    </row>
    <row r="259">
      <c r="B259" s="299" t="n"/>
      <c r="D259" s="53" t="n"/>
      <c r="F259" s="299" t="n"/>
      <c r="G259" s="299" t="n"/>
      <c r="H259" s="51" t="n"/>
    </row>
    <row r="260">
      <c r="B260" s="299" t="n"/>
      <c r="D260" s="53" t="n"/>
      <c r="F260" s="299" t="n"/>
      <c r="G260" s="299" t="n"/>
      <c r="H260" s="51" t="n"/>
    </row>
    <row r="261">
      <c r="B261" s="299" t="n"/>
      <c r="D261" s="53" t="n"/>
      <c r="F261" s="299" t="n"/>
      <c r="G261" s="299" t="n"/>
      <c r="H261" s="51" t="n"/>
    </row>
    <row r="262">
      <c r="B262" s="299" t="n"/>
      <c r="D262" s="53" t="n"/>
      <c r="F262" s="299" t="n"/>
      <c r="G262" s="299" t="n"/>
      <c r="H262" s="51" t="n"/>
    </row>
    <row r="263">
      <c r="B263" s="299" t="n"/>
      <c r="D263" s="53" t="n"/>
      <c r="F263" s="299" t="n"/>
      <c r="G263" s="299" t="n"/>
      <c r="H263" s="51" t="n"/>
    </row>
    <row r="264">
      <c r="B264" s="299" t="n"/>
      <c r="D264" s="53" t="n"/>
      <c r="F264" s="299" t="n"/>
      <c r="G264" s="299" t="n"/>
      <c r="H264" s="51" t="n"/>
    </row>
    <row r="265">
      <c r="B265" s="299" t="n"/>
      <c r="D265" s="53" t="n"/>
      <c r="F265" s="299" t="n"/>
      <c r="G265" s="299" t="n"/>
      <c r="H265" s="51" t="n"/>
    </row>
    <row r="266">
      <c r="B266" s="299" t="n"/>
      <c r="D266" s="53" t="n"/>
      <c r="F266" s="299" t="n"/>
      <c r="G266" s="299" t="n"/>
      <c r="H266" s="51" t="n"/>
    </row>
    <row r="267">
      <c r="B267" s="299" t="n"/>
      <c r="D267" s="53" t="n"/>
      <c r="F267" s="299" t="n"/>
      <c r="G267" s="299" t="n"/>
      <c r="H267" s="51" t="n"/>
    </row>
    <row r="268">
      <c r="B268" s="299" t="n"/>
      <c r="D268" s="53" t="n"/>
      <c r="F268" s="299" t="n"/>
      <c r="G268" s="299" t="n"/>
      <c r="H268" s="51" t="n"/>
    </row>
    <row r="269">
      <c r="B269" s="299" t="n"/>
      <c r="D269" s="53" t="n"/>
      <c r="F269" s="299" t="n"/>
      <c r="G269" s="299" t="n"/>
      <c r="H269" s="51" t="n"/>
    </row>
    <row r="270">
      <c r="B270" s="299" t="n"/>
      <c r="D270" s="53" t="n"/>
      <c r="F270" s="299" t="n"/>
      <c r="G270" s="299" t="n"/>
      <c r="H270" s="51" t="n"/>
    </row>
    <row r="271">
      <c r="B271" s="299" t="n"/>
      <c r="D271" s="53" t="n"/>
      <c r="F271" s="299" t="n"/>
      <c r="G271" s="299" t="n"/>
      <c r="H271" s="51" t="n"/>
    </row>
    <row r="272">
      <c r="B272" s="299" t="n"/>
      <c r="D272" s="53" t="n"/>
      <c r="F272" s="299" t="n"/>
      <c r="G272" s="299" t="n"/>
      <c r="H272" s="51" t="n"/>
    </row>
    <row r="273">
      <c r="B273" s="299" t="n"/>
      <c r="D273" s="53" t="n"/>
      <c r="F273" s="299" t="n"/>
      <c r="G273" s="299" t="n"/>
      <c r="H273" s="51" t="n"/>
    </row>
    <row r="274">
      <c r="B274" s="299" t="n"/>
      <c r="D274" s="53" t="n"/>
      <c r="F274" s="299" t="n"/>
      <c r="G274" s="299" t="n"/>
      <c r="H274" s="51" t="n"/>
    </row>
    <row r="275">
      <c r="B275" s="299" t="n"/>
      <c r="D275" s="53" t="n"/>
      <c r="F275" s="299" t="n"/>
      <c r="G275" s="299" t="n"/>
      <c r="H275" s="51" t="n"/>
    </row>
    <row r="276">
      <c r="B276" s="299" t="n"/>
      <c r="D276" s="53" t="n"/>
      <c r="F276" s="299" t="n"/>
      <c r="G276" s="299" t="n"/>
      <c r="H276" s="51" t="n"/>
    </row>
    <row r="277">
      <c r="B277" s="299" t="n"/>
      <c r="D277" s="53" t="n"/>
      <c r="F277" s="299" t="n"/>
      <c r="G277" s="299" t="n"/>
      <c r="H277" s="51" t="n"/>
    </row>
    <row r="278">
      <c r="B278" s="299" t="n"/>
      <c r="D278" s="53" t="n"/>
      <c r="F278" s="299" t="n"/>
      <c r="G278" s="299" t="n"/>
      <c r="H278" s="51" t="n"/>
    </row>
    <row r="279">
      <c r="B279" s="299" t="n"/>
      <c r="D279" s="53" t="n"/>
      <c r="F279" s="299" t="n"/>
      <c r="G279" s="299" t="n"/>
      <c r="H279" s="51" t="n"/>
    </row>
    <row r="280">
      <c r="B280" s="299" t="n"/>
      <c r="D280" s="53" t="n"/>
      <c r="F280" s="299" t="n"/>
      <c r="G280" s="299" t="n"/>
      <c r="H280" s="51" t="n"/>
    </row>
    <row r="281">
      <c r="B281" s="299" t="n"/>
      <c r="D281" s="53" t="n"/>
      <c r="F281" s="299" t="n"/>
      <c r="G281" s="299" t="n"/>
      <c r="H281" s="51" t="n"/>
    </row>
    <row r="282">
      <c r="B282" s="299" t="n"/>
      <c r="D282" s="53" t="n"/>
      <c r="F282" s="299" t="n"/>
      <c r="G282" s="299" t="n"/>
      <c r="H282" s="51" t="n"/>
    </row>
    <row r="283">
      <c r="B283" s="299" t="n"/>
      <c r="D283" s="53" t="n"/>
      <c r="F283" s="299" t="n"/>
      <c r="G283" s="299" t="n"/>
      <c r="H283" s="51" t="n"/>
    </row>
    <row r="284">
      <c r="B284" s="299" t="n"/>
      <c r="D284" s="53" t="n"/>
      <c r="F284" s="299" t="n"/>
      <c r="G284" s="299" t="n"/>
      <c r="H284" s="51" t="n"/>
    </row>
    <row r="285">
      <c r="B285" s="299" t="n"/>
      <c r="D285" s="53" t="n"/>
      <c r="F285" s="299" t="n"/>
      <c r="G285" s="299" t="n"/>
      <c r="H285" s="51" t="n"/>
    </row>
    <row r="286">
      <c r="B286" s="299" t="n"/>
      <c r="D286" s="53" t="n"/>
      <c r="F286" s="299" t="n"/>
      <c r="G286" s="299" t="n"/>
      <c r="H286" s="51" t="n"/>
    </row>
    <row r="287">
      <c r="B287" s="299" t="n"/>
      <c r="D287" s="53" t="n"/>
      <c r="F287" s="299" t="n"/>
      <c r="G287" s="299" t="n"/>
      <c r="H287" s="51" t="n"/>
    </row>
    <row r="288">
      <c r="B288" s="299" t="n"/>
      <c r="D288" s="53" t="n"/>
      <c r="F288" s="299" t="n"/>
      <c r="G288" s="299" t="n"/>
      <c r="H288" s="51" t="n"/>
    </row>
    <row r="289">
      <c r="B289" s="299" t="n"/>
      <c r="D289" s="53" t="n"/>
      <c r="F289" s="299" t="n"/>
      <c r="G289" s="299" t="n"/>
      <c r="H289" s="51" t="n"/>
    </row>
    <row r="290">
      <c r="B290" s="299" t="n"/>
      <c r="D290" s="53" t="n"/>
      <c r="F290" s="299" t="n"/>
      <c r="G290" s="299" t="n"/>
      <c r="H290" s="51" t="n"/>
    </row>
    <row r="291">
      <c r="B291" s="299" t="n"/>
      <c r="D291" s="53" t="n"/>
      <c r="F291" s="299" t="n"/>
      <c r="G291" s="299" t="n"/>
      <c r="H291" s="51" t="n"/>
    </row>
    <row r="292">
      <c r="B292" s="299" t="n"/>
      <c r="D292" s="53" t="n"/>
      <c r="F292" s="299" t="n"/>
      <c r="G292" s="299" t="n"/>
      <c r="H292" s="51" t="n"/>
    </row>
    <row r="293">
      <c r="B293" s="299" t="n"/>
      <c r="D293" s="53" t="n"/>
      <c r="F293" s="299" t="n"/>
      <c r="G293" s="299" t="n"/>
      <c r="H293" s="51" t="n"/>
    </row>
    <row r="294">
      <c r="B294" s="299" t="n"/>
      <c r="D294" s="53" t="n"/>
      <c r="F294" s="299" t="n"/>
      <c r="G294" s="299" t="n"/>
      <c r="H294" s="51" t="n"/>
    </row>
    <row r="295">
      <c r="B295" s="299" t="n"/>
      <c r="D295" s="53" t="n"/>
      <c r="F295" s="299" t="n"/>
      <c r="G295" s="299" t="n"/>
      <c r="H295" s="51" t="n"/>
    </row>
    <row r="296">
      <c r="B296" s="299" t="n"/>
      <c r="D296" s="53" t="n"/>
      <c r="F296" s="299" t="n"/>
      <c r="G296" s="299" t="n"/>
      <c r="H296" s="51" t="n"/>
    </row>
    <row r="297">
      <c r="B297" s="299" t="n"/>
      <c r="D297" s="53" t="n"/>
      <c r="F297" s="299" t="n"/>
      <c r="G297" s="299" t="n"/>
      <c r="H297" s="51" t="n"/>
    </row>
    <row r="298">
      <c r="B298" s="299" t="n"/>
      <c r="D298" s="53" t="n"/>
      <c r="F298" s="299" t="n"/>
      <c r="G298" s="299" t="n"/>
      <c r="H298" s="51" t="n"/>
    </row>
    <row r="299">
      <c r="B299" s="299" t="n"/>
      <c r="D299" s="53" t="n"/>
      <c r="F299" s="299" t="n"/>
      <c r="G299" s="299" t="n"/>
      <c r="H299" s="51" t="n"/>
    </row>
    <row r="300">
      <c r="B300" s="299" t="n"/>
      <c r="D300" s="53" t="n"/>
      <c r="F300" s="299" t="n"/>
      <c r="G300" s="299" t="n"/>
      <c r="H300" s="51" t="n"/>
    </row>
    <row r="301">
      <c r="B301" s="299" t="n"/>
      <c r="D301" s="53" t="n"/>
      <c r="F301" s="299" t="n"/>
      <c r="G301" s="299" t="n"/>
      <c r="H301" s="51" t="n"/>
    </row>
    <row r="302">
      <c r="B302" s="299" t="n"/>
      <c r="D302" s="53" t="n"/>
      <c r="F302" s="299" t="n"/>
      <c r="G302" s="299" t="n"/>
      <c r="H302" s="51" t="n"/>
    </row>
    <row r="303">
      <c r="B303" s="299" t="n"/>
      <c r="D303" s="53" t="n"/>
      <c r="F303" s="299" t="n"/>
      <c r="G303" s="299" t="n"/>
      <c r="H303" s="51" t="n"/>
    </row>
    <row r="304">
      <c r="B304" s="299" t="n"/>
      <c r="D304" s="53" t="n"/>
      <c r="F304" s="299" t="n"/>
      <c r="G304" s="299" t="n"/>
      <c r="H304" s="51" t="n"/>
    </row>
    <row r="305">
      <c r="B305" s="299" t="n"/>
      <c r="D305" s="53" t="n"/>
      <c r="F305" s="299" t="n"/>
      <c r="G305" s="299" t="n"/>
      <c r="H305" s="51" t="n"/>
    </row>
    <row r="306">
      <c r="B306" s="299" t="n"/>
      <c r="D306" s="53" t="n"/>
      <c r="F306" s="299" t="n"/>
      <c r="G306" s="299" t="n"/>
      <c r="H306" s="51" t="n"/>
    </row>
    <row r="307">
      <c r="B307" s="299" t="n"/>
      <c r="D307" s="53" t="n"/>
      <c r="F307" s="299" t="n"/>
      <c r="G307" s="299" t="n"/>
      <c r="H307" s="51" t="n"/>
    </row>
    <row r="308">
      <c r="B308" s="299" t="n"/>
      <c r="D308" s="53" t="n"/>
      <c r="F308" s="299" t="n"/>
      <c r="G308" s="299" t="n"/>
      <c r="H308" s="51" t="n"/>
    </row>
    <row r="309">
      <c r="B309" s="299" t="n"/>
      <c r="D309" s="53" t="n"/>
      <c r="F309" s="299" t="n"/>
      <c r="G309" s="299" t="n"/>
      <c r="H309" s="51" t="n"/>
    </row>
    <row r="310">
      <c r="B310" s="299" t="n"/>
      <c r="D310" s="53" t="n"/>
      <c r="F310" s="299" t="n"/>
      <c r="G310" s="299" t="n"/>
      <c r="H310" s="51" t="n"/>
    </row>
    <row r="311">
      <c r="B311" s="299" t="n"/>
      <c r="D311" s="53" t="n"/>
      <c r="F311" s="299" t="n"/>
      <c r="G311" s="299" t="n"/>
      <c r="H311" s="51" t="n"/>
    </row>
    <row r="312">
      <c r="B312" s="299" t="n"/>
      <c r="D312" s="53" t="n"/>
      <c r="F312" s="299" t="n"/>
      <c r="G312" s="299" t="n"/>
      <c r="H312" s="51" t="n"/>
    </row>
    <row r="313">
      <c r="B313" s="299" t="n"/>
      <c r="D313" s="53" t="n"/>
      <c r="F313" s="299" t="n"/>
      <c r="G313" s="299" t="n"/>
      <c r="H313" s="51" t="n"/>
    </row>
    <row r="314">
      <c r="B314" s="299" t="n"/>
      <c r="D314" s="53" t="n"/>
      <c r="F314" s="299" t="n"/>
      <c r="G314" s="299" t="n"/>
      <c r="H314" s="51" t="n"/>
    </row>
    <row r="315">
      <c r="B315" s="299" t="n"/>
      <c r="D315" s="53" t="n"/>
      <c r="F315" s="299" t="n"/>
      <c r="G315" s="299" t="n"/>
      <c r="H315" s="51" t="n"/>
    </row>
    <row r="316">
      <c r="B316" s="299" t="n"/>
      <c r="D316" s="53" t="n"/>
      <c r="F316" s="299" t="n"/>
      <c r="G316" s="299" t="n"/>
      <c r="H316" s="51" t="n"/>
    </row>
    <row r="317">
      <c r="B317" s="299" t="n"/>
      <c r="D317" s="53" t="n"/>
      <c r="F317" s="299" t="n"/>
      <c r="G317" s="299" t="n"/>
      <c r="H317" s="51" t="n"/>
    </row>
    <row r="318">
      <c r="B318" s="299" t="n"/>
      <c r="D318" s="53" t="n"/>
      <c r="F318" s="299" t="n"/>
      <c r="G318" s="299" t="n"/>
      <c r="H318" s="51" t="n"/>
    </row>
    <row r="319">
      <c r="B319" s="299" t="n"/>
      <c r="D319" s="53" t="n"/>
      <c r="F319" s="299" t="n"/>
      <c r="G319" s="299" t="n"/>
      <c r="H319" s="51" t="n"/>
    </row>
    <row r="320">
      <c r="B320" s="299" t="n"/>
      <c r="D320" s="53" t="n"/>
      <c r="F320" s="299" t="n"/>
      <c r="G320" s="299" t="n"/>
      <c r="H320" s="51" t="n"/>
    </row>
    <row r="321">
      <c r="B321" s="299" t="n"/>
      <c r="D321" s="53" t="n"/>
      <c r="F321" s="299" t="n"/>
      <c r="G321" s="299" t="n"/>
      <c r="H321" s="51" t="n"/>
    </row>
    <row r="322">
      <c r="B322" s="299" t="n"/>
      <c r="D322" s="53" t="n"/>
      <c r="F322" s="299" t="n"/>
      <c r="G322" s="299" t="n"/>
      <c r="H322" s="51" t="n"/>
    </row>
    <row r="323">
      <c r="B323" s="299" t="n"/>
      <c r="D323" s="53" t="n"/>
      <c r="F323" s="299" t="n"/>
      <c r="G323" s="299" t="n"/>
      <c r="H323" s="51" t="n"/>
    </row>
    <row r="324">
      <c r="B324" s="299" t="n"/>
      <c r="D324" s="53" t="n"/>
      <c r="F324" s="299" t="n"/>
      <c r="G324" s="299" t="n"/>
      <c r="H324" s="51" t="n"/>
    </row>
    <row r="325">
      <c r="B325" s="299" t="n"/>
      <c r="D325" s="53" t="n"/>
      <c r="F325" s="299" t="n"/>
      <c r="G325" s="299" t="n"/>
      <c r="H325" s="51" t="n"/>
    </row>
    <row r="326">
      <c r="B326" s="299" t="n"/>
      <c r="D326" s="53" t="n"/>
      <c r="F326" s="299" t="n"/>
      <c r="G326" s="299" t="n"/>
      <c r="H326" s="51" t="n"/>
    </row>
    <row r="327">
      <c r="B327" s="299" t="n"/>
      <c r="D327" s="53" t="n"/>
      <c r="F327" s="299" t="n"/>
      <c r="G327" s="299" t="n"/>
      <c r="H327" s="51" t="n"/>
    </row>
    <row r="328">
      <c r="B328" s="299" t="n"/>
      <c r="D328" s="53" t="n"/>
      <c r="F328" s="299" t="n"/>
      <c r="G328" s="299" t="n"/>
      <c r="H328" s="51" t="n"/>
    </row>
    <row r="329">
      <c r="B329" s="299" t="n"/>
      <c r="D329" s="53" t="n"/>
      <c r="F329" s="299" t="n"/>
      <c r="G329" s="299" t="n"/>
      <c r="H329" s="51" t="n"/>
    </row>
    <row r="330">
      <c r="B330" s="299" t="n"/>
      <c r="D330" s="53" t="n"/>
      <c r="F330" s="299" t="n"/>
      <c r="G330" s="299" t="n"/>
      <c r="H330" s="51" t="n"/>
    </row>
    <row r="331">
      <c r="B331" s="299" t="n"/>
      <c r="D331" s="53" t="n"/>
      <c r="F331" s="299" t="n"/>
      <c r="G331" s="299" t="n"/>
      <c r="H331" s="51" t="n"/>
    </row>
    <row r="332">
      <c r="B332" s="299" t="n"/>
      <c r="D332" s="53" t="n"/>
      <c r="F332" s="299" t="n"/>
      <c r="G332" s="299" t="n"/>
      <c r="H332" s="51" t="n"/>
    </row>
    <row r="333">
      <c r="B333" s="299" t="n"/>
      <c r="D333" s="53" t="n"/>
      <c r="F333" s="299" t="n"/>
      <c r="G333" s="299" t="n"/>
      <c r="H333" s="51" t="n"/>
    </row>
    <row r="334">
      <c r="B334" s="299" t="n"/>
      <c r="D334" s="53" t="n"/>
      <c r="F334" s="299" t="n"/>
      <c r="G334" s="299" t="n"/>
      <c r="H334" s="51" t="n"/>
    </row>
    <row r="335">
      <c r="B335" s="299" t="n"/>
      <c r="D335" s="53" t="n"/>
      <c r="F335" s="299" t="n"/>
      <c r="G335" s="299" t="n"/>
      <c r="H335" s="51" t="n"/>
    </row>
    <row r="336">
      <c r="B336" s="299" t="n"/>
      <c r="D336" s="53" t="n"/>
      <c r="F336" s="299" t="n"/>
      <c r="G336" s="299" t="n"/>
      <c r="H336" s="51" t="n"/>
    </row>
    <row r="337">
      <c r="B337" s="299" t="n"/>
      <c r="D337" s="53" t="n"/>
      <c r="F337" s="299" t="n"/>
      <c r="G337" s="299" t="n"/>
      <c r="H337" s="51" t="n"/>
    </row>
    <row r="338">
      <c r="B338" s="299" t="n"/>
      <c r="D338" s="53" t="n"/>
      <c r="F338" s="299" t="n"/>
      <c r="G338" s="299" t="n"/>
      <c r="H338" s="51" t="n"/>
    </row>
    <row r="339">
      <c r="B339" s="299" t="n"/>
      <c r="D339" s="53" t="n"/>
      <c r="F339" s="299" t="n"/>
      <c r="G339" s="299" t="n"/>
      <c r="H339" s="51" t="n"/>
    </row>
    <row r="340">
      <c r="B340" s="299" t="n"/>
      <c r="D340" s="53" t="n"/>
      <c r="F340" s="299" t="n"/>
      <c r="G340" s="299" t="n"/>
      <c r="H340" s="51" t="n"/>
    </row>
    <row r="341">
      <c r="B341" s="299" t="n"/>
      <c r="D341" s="53" t="n"/>
      <c r="F341" s="299" t="n"/>
      <c r="G341" s="299" t="n"/>
      <c r="H341" s="51" t="n"/>
    </row>
    <row r="342">
      <c r="B342" s="299" t="n"/>
      <c r="D342" s="53" t="n"/>
      <c r="F342" s="299" t="n"/>
      <c r="G342" s="299" t="n"/>
      <c r="H342" s="51" t="n"/>
    </row>
    <row r="343">
      <c r="B343" s="299" t="n"/>
      <c r="D343" s="53" t="n"/>
      <c r="F343" s="299" t="n"/>
      <c r="G343" s="299" t="n"/>
      <c r="H343" s="51" t="n"/>
    </row>
    <row r="344">
      <c r="B344" s="299" t="n"/>
      <c r="D344" s="53" t="n"/>
      <c r="F344" s="299" t="n"/>
      <c r="G344" s="299" t="n"/>
      <c r="H344" s="51" t="n"/>
    </row>
    <row r="345">
      <c r="B345" s="299" t="n"/>
      <c r="D345" s="53" t="n"/>
      <c r="F345" s="299" t="n"/>
      <c r="G345" s="299" t="n"/>
      <c r="H345" s="51" t="n"/>
    </row>
    <row r="346">
      <c r="B346" s="299" t="n"/>
      <c r="D346" s="53" t="n"/>
      <c r="F346" s="299" t="n"/>
      <c r="G346" s="299" t="n"/>
      <c r="H346" s="51" t="n"/>
    </row>
    <row r="347">
      <c r="B347" s="299" t="n"/>
      <c r="D347" s="53" t="n"/>
      <c r="F347" s="299" t="n"/>
      <c r="G347" s="299" t="n"/>
      <c r="H347" s="51" t="n"/>
    </row>
    <row r="348">
      <c r="B348" s="299" t="n"/>
      <c r="D348" s="53" t="n"/>
      <c r="F348" s="299" t="n"/>
      <c r="G348" s="299" t="n"/>
      <c r="H348" s="51" t="n"/>
    </row>
    <row r="349">
      <c r="B349" s="299" t="n"/>
      <c r="D349" s="53" t="n"/>
      <c r="F349" s="299" t="n"/>
      <c r="G349" s="299" t="n"/>
      <c r="H349" s="51" t="n"/>
    </row>
    <row r="350">
      <c r="B350" s="299" t="n"/>
      <c r="D350" s="53" t="n"/>
      <c r="F350" s="299" t="n"/>
      <c r="G350" s="299" t="n"/>
      <c r="H350" s="51" t="n"/>
    </row>
    <row r="351">
      <c r="B351" s="299" t="n"/>
      <c r="D351" s="53" t="n"/>
      <c r="F351" s="299" t="n"/>
      <c r="G351" s="299" t="n"/>
      <c r="H351" s="51" t="n"/>
    </row>
    <row r="352">
      <c r="B352" s="299" t="n"/>
      <c r="D352" s="53" t="n"/>
      <c r="F352" s="299" t="n"/>
      <c r="G352" s="299" t="n"/>
      <c r="H352" s="51" t="n"/>
    </row>
    <row r="353">
      <c r="B353" s="299" t="n"/>
      <c r="D353" s="53" t="n"/>
      <c r="F353" s="299" t="n"/>
      <c r="G353" s="299" t="n"/>
      <c r="H353" s="51" t="n"/>
    </row>
    <row r="354">
      <c r="B354" s="299" t="n"/>
      <c r="D354" s="53" t="n"/>
      <c r="F354" s="299" t="n"/>
      <c r="G354" s="299" t="n"/>
      <c r="H354" s="51" t="n"/>
    </row>
    <row r="355">
      <c r="B355" s="299" t="n"/>
      <c r="D355" s="53" t="n"/>
      <c r="F355" s="299" t="n"/>
      <c r="G355" s="299" t="n"/>
      <c r="H355" s="51" t="n"/>
    </row>
    <row r="356">
      <c r="B356" s="299" t="n"/>
      <c r="D356" s="53" t="n"/>
      <c r="F356" s="299" t="n"/>
      <c r="G356" s="299" t="n"/>
      <c r="H356" s="51" t="n"/>
    </row>
    <row r="357">
      <c r="B357" s="299" t="n"/>
      <c r="D357" s="53" t="n"/>
      <c r="F357" s="299" t="n"/>
      <c r="G357" s="299" t="n"/>
      <c r="H357" s="51" t="n"/>
    </row>
    <row r="358">
      <c r="B358" s="299" t="n"/>
      <c r="D358" s="53" t="n"/>
      <c r="F358" s="299" t="n"/>
      <c r="G358" s="299" t="n"/>
      <c r="H358" s="51" t="n"/>
    </row>
    <row r="359">
      <c r="B359" s="299" t="n"/>
      <c r="D359" s="53" t="n"/>
      <c r="F359" s="299" t="n"/>
      <c r="G359" s="299" t="n"/>
      <c r="H359" s="51" t="n"/>
    </row>
    <row r="360">
      <c r="B360" s="299" t="n"/>
      <c r="D360" s="53" t="n"/>
      <c r="F360" s="299" t="n"/>
      <c r="G360" s="299" t="n"/>
      <c r="H360" s="51" t="n"/>
    </row>
    <row r="361">
      <c r="B361" s="299" t="n"/>
      <c r="D361" s="53" t="n"/>
      <c r="F361" s="299" t="n"/>
      <c r="G361" s="299" t="n"/>
      <c r="H361" s="51" t="n"/>
    </row>
    <row r="362">
      <c r="B362" s="299" t="n"/>
      <c r="D362" s="53" t="n"/>
      <c r="F362" s="299" t="n"/>
      <c r="G362" s="299" t="n"/>
      <c r="H362" s="51" t="n"/>
    </row>
    <row r="363">
      <c r="B363" s="299" t="n"/>
      <c r="D363" s="53" t="n"/>
      <c r="F363" s="299" t="n"/>
      <c r="G363" s="299" t="n"/>
      <c r="H363" s="51" t="n"/>
    </row>
    <row r="364">
      <c r="B364" s="299" t="n"/>
      <c r="D364" s="53" t="n"/>
      <c r="F364" s="299" t="n"/>
      <c r="G364" s="299" t="n"/>
      <c r="H364" s="51" t="n"/>
    </row>
    <row r="365">
      <c r="B365" s="299" t="n"/>
      <c r="D365" s="53" t="n"/>
      <c r="F365" s="299" t="n"/>
      <c r="G365" s="299" t="n"/>
      <c r="H365" s="51" t="n"/>
    </row>
    <row r="366">
      <c r="B366" s="299" t="n"/>
      <c r="D366" s="53" t="n"/>
      <c r="F366" s="299" t="n"/>
      <c r="G366" s="299" t="n"/>
      <c r="H366" s="51" t="n"/>
    </row>
    <row r="367">
      <c r="B367" s="299" t="n"/>
      <c r="D367" s="53" t="n"/>
      <c r="F367" s="299" t="n"/>
      <c r="G367" s="299" t="n"/>
      <c r="H367" s="51" t="n"/>
    </row>
    <row r="368">
      <c r="B368" s="299" t="n"/>
      <c r="D368" s="53" t="n"/>
      <c r="F368" s="299" t="n"/>
      <c r="G368" s="299" t="n"/>
      <c r="H368" s="51" t="n"/>
    </row>
    <row r="369">
      <c r="B369" s="299" t="n"/>
      <c r="D369" s="53" t="n"/>
      <c r="F369" s="299" t="n"/>
      <c r="G369" s="299" t="n"/>
      <c r="H369" s="51" t="n"/>
    </row>
    <row r="370">
      <c r="B370" s="299" t="n"/>
      <c r="D370" s="53" t="n"/>
      <c r="F370" s="299" t="n"/>
      <c r="G370" s="299" t="n"/>
      <c r="H370" s="51" t="n"/>
    </row>
    <row r="371">
      <c r="B371" s="299" t="n"/>
      <c r="D371" s="53" t="n"/>
      <c r="F371" s="299" t="n"/>
      <c r="G371" s="299" t="n"/>
      <c r="H371" s="51" t="n"/>
    </row>
    <row r="372">
      <c r="B372" s="299" t="n"/>
      <c r="D372" s="53" t="n"/>
      <c r="F372" s="299" t="n"/>
      <c r="G372" s="299" t="n"/>
      <c r="H372" s="51" t="n"/>
    </row>
    <row r="373">
      <c r="B373" s="299" t="n"/>
      <c r="D373" s="53" t="n"/>
      <c r="F373" s="299" t="n"/>
      <c r="G373" s="299" t="n"/>
      <c r="H373" s="51" t="n"/>
    </row>
    <row r="374">
      <c r="B374" s="299" t="n"/>
      <c r="D374" s="53" t="n"/>
      <c r="F374" s="299" t="n"/>
      <c r="G374" s="299" t="n"/>
      <c r="H374" s="51" t="n"/>
    </row>
    <row r="375">
      <c r="B375" s="299" t="n"/>
      <c r="D375" s="53" t="n"/>
      <c r="F375" s="299" t="n"/>
      <c r="G375" s="299" t="n"/>
      <c r="H375" s="51" t="n"/>
    </row>
    <row r="376">
      <c r="B376" s="299" t="n"/>
      <c r="D376" s="53" t="n"/>
      <c r="F376" s="299" t="n"/>
      <c r="G376" s="299" t="n"/>
      <c r="H376" s="51" t="n"/>
    </row>
    <row r="377">
      <c r="B377" s="299" t="n"/>
      <c r="D377" s="53" t="n"/>
      <c r="F377" s="299" t="n"/>
      <c r="G377" s="299" t="n"/>
      <c r="H377" s="51" t="n"/>
    </row>
    <row r="378">
      <c r="B378" s="299" t="n"/>
      <c r="D378" s="53" t="n"/>
      <c r="F378" s="299" t="n"/>
      <c r="G378" s="299" t="n"/>
      <c r="H378" s="51" t="n"/>
    </row>
    <row r="379">
      <c r="B379" s="299" t="n"/>
      <c r="D379" s="53" t="n"/>
      <c r="F379" s="299" t="n"/>
      <c r="G379" s="299" t="n"/>
      <c r="H379" s="51" t="n"/>
    </row>
    <row r="380">
      <c r="B380" s="299" t="n"/>
      <c r="D380" s="53" t="n"/>
      <c r="F380" s="299" t="n"/>
      <c r="G380" s="299" t="n"/>
      <c r="H380" s="51" t="n"/>
    </row>
    <row r="381">
      <c r="B381" s="299" t="n"/>
      <c r="D381" s="53" t="n"/>
      <c r="F381" s="299" t="n"/>
      <c r="G381" s="299" t="n"/>
      <c r="H381" s="51" t="n"/>
    </row>
    <row r="382">
      <c r="B382" s="299" t="n"/>
      <c r="D382" s="53" t="n"/>
      <c r="F382" s="299" t="n"/>
      <c r="G382" s="299" t="n"/>
      <c r="H382" s="51" t="n"/>
    </row>
    <row r="383">
      <c r="B383" s="299" t="n"/>
      <c r="D383" s="53" t="n"/>
      <c r="F383" s="299" t="n"/>
      <c r="G383" s="299" t="n"/>
      <c r="H383" s="51" t="n"/>
    </row>
    <row r="384">
      <c r="B384" s="299" t="n"/>
      <c r="D384" s="53" t="n"/>
      <c r="F384" s="299" t="n"/>
      <c r="G384" s="299" t="n"/>
      <c r="H384" s="51" t="n"/>
    </row>
    <row r="385">
      <c r="B385" s="299" t="n"/>
      <c r="D385" s="53" t="n"/>
      <c r="F385" s="299" t="n"/>
      <c r="G385" s="299" t="n"/>
      <c r="H385" s="51" t="n"/>
    </row>
    <row r="386">
      <c r="B386" s="299" t="n"/>
      <c r="D386" s="53" t="n"/>
      <c r="F386" s="299" t="n"/>
      <c r="G386" s="299" t="n"/>
      <c r="H386" s="51" t="n"/>
    </row>
    <row r="387">
      <c r="B387" s="299" t="n"/>
      <c r="D387" s="53" t="n"/>
      <c r="F387" s="299" t="n"/>
      <c r="G387" s="299" t="n"/>
      <c r="H387" s="51" t="n"/>
    </row>
    <row r="388">
      <c r="B388" s="299" t="n"/>
      <c r="D388" s="53" t="n"/>
      <c r="F388" s="299" t="n"/>
      <c r="G388" s="299" t="n"/>
      <c r="H388" s="51" t="n"/>
    </row>
    <row r="389">
      <c r="B389" s="299" t="n"/>
      <c r="D389" s="53" t="n"/>
      <c r="F389" s="299" t="n"/>
      <c r="G389" s="299" t="n"/>
      <c r="H389" s="51" t="n"/>
    </row>
    <row r="390">
      <c r="B390" s="299" t="n"/>
      <c r="D390" s="53" t="n"/>
      <c r="F390" s="299" t="n"/>
      <c r="G390" s="299" t="n"/>
      <c r="H390" s="51" t="n"/>
    </row>
    <row r="391">
      <c r="B391" s="299" t="n"/>
      <c r="D391" s="53" t="n"/>
      <c r="F391" s="299" t="n"/>
      <c r="G391" s="299" t="n"/>
      <c r="H391" s="51" t="n"/>
    </row>
    <row r="392">
      <c r="B392" s="299" t="n"/>
      <c r="D392" s="53" t="n"/>
      <c r="F392" s="299" t="n"/>
      <c r="G392" s="299" t="n"/>
      <c r="H392" s="51" t="n"/>
    </row>
    <row r="393">
      <c r="B393" s="299" t="n"/>
      <c r="D393" s="53" t="n"/>
      <c r="F393" s="299" t="n"/>
      <c r="G393" s="299" t="n"/>
      <c r="H393" s="51" t="n"/>
    </row>
    <row r="394">
      <c r="B394" s="299" t="n"/>
      <c r="D394" s="53" t="n"/>
      <c r="F394" s="299" t="n"/>
      <c r="G394" s="299" t="n"/>
      <c r="H394" s="51" t="n"/>
    </row>
    <row r="395">
      <c r="B395" s="299" t="n"/>
      <c r="D395" s="53" t="n"/>
      <c r="F395" s="299" t="n"/>
      <c r="G395" s="299" t="n"/>
      <c r="H395" s="51" t="n"/>
    </row>
    <row r="396">
      <c r="B396" s="299" t="n"/>
      <c r="D396" s="53" t="n"/>
      <c r="F396" s="299" t="n"/>
      <c r="G396" s="299" t="n"/>
      <c r="H396" s="51" t="n"/>
    </row>
    <row r="397">
      <c r="B397" s="299" t="n"/>
      <c r="D397" s="53" t="n"/>
      <c r="F397" s="299" t="n"/>
      <c r="G397" s="299" t="n"/>
      <c r="H397" s="51" t="n"/>
    </row>
    <row r="398">
      <c r="B398" s="299" t="n"/>
      <c r="D398" s="53" t="n"/>
      <c r="F398" s="299" t="n"/>
      <c r="G398" s="299" t="n"/>
      <c r="H398" s="51" t="n"/>
    </row>
    <row r="399">
      <c r="B399" s="299" t="n"/>
      <c r="D399" s="53" t="n"/>
      <c r="F399" s="299" t="n"/>
      <c r="G399" s="299" t="n"/>
      <c r="H399" s="51" t="n"/>
    </row>
    <row r="400">
      <c r="B400" s="299" t="n"/>
      <c r="D400" s="53" t="n"/>
      <c r="F400" s="299" t="n"/>
      <c r="G400" s="299" t="n"/>
      <c r="H400" s="51" t="n"/>
    </row>
    <row r="401">
      <c r="B401" s="299" t="n"/>
      <c r="D401" s="53" t="n"/>
      <c r="F401" s="299" t="n"/>
      <c r="G401" s="299" t="n"/>
      <c r="H401" s="51" t="n"/>
    </row>
    <row r="402">
      <c r="B402" s="299" t="n"/>
      <c r="D402" s="53" t="n"/>
      <c r="F402" s="299" t="n"/>
      <c r="G402" s="299" t="n"/>
      <c r="H402" s="51" t="n"/>
    </row>
    <row r="403">
      <c r="B403" s="299" t="n"/>
      <c r="D403" s="53" t="n"/>
      <c r="F403" s="299" t="n"/>
      <c r="G403" s="299" t="n"/>
      <c r="H403" s="51" t="n"/>
    </row>
    <row r="404">
      <c r="B404" s="299" t="n"/>
      <c r="D404" s="53" t="n"/>
      <c r="F404" s="299" t="n"/>
      <c r="G404" s="299" t="n"/>
      <c r="H404" s="51" t="n"/>
    </row>
    <row r="405">
      <c r="B405" s="299" t="n"/>
      <c r="D405" s="53" t="n"/>
      <c r="F405" s="299" t="n"/>
      <c r="G405" s="299" t="n"/>
      <c r="H405" s="51" t="n"/>
    </row>
    <row r="406">
      <c r="B406" s="299" t="n"/>
      <c r="D406" s="53" t="n"/>
      <c r="F406" s="299" t="n"/>
      <c r="G406" s="299" t="n"/>
      <c r="H406" s="51" t="n"/>
    </row>
    <row r="407">
      <c r="B407" s="299" t="n"/>
      <c r="D407" s="53" t="n"/>
      <c r="F407" s="299" t="n"/>
      <c r="G407" s="299" t="n"/>
      <c r="H407" s="51" t="n"/>
    </row>
    <row r="408">
      <c r="B408" s="299" t="n"/>
      <c r="D408" s="53" t="n"/>
      <c r="F408" s="299" t="n"/>
      <c r="G408" s="299" t="n"/>
      <c r="H408" s="51" t="n"/>
    </row>
    <row r="409">
      <c r="B409" s="299" t="n"/>
      <c r="D409" s="53" t="n"/>
      <c r="F409" s="299" t="n"/>
      <c r="G409" s="299" t="n"/>
      <c r="H409" s="51" t="n"/>
    </row>
    <row r="410">
      <c r="B410" s="299" t="n"/>
      <c r="D410" s="53" t="n"/>
      <c r="F410" s="299" t="n"/>
      <c r="G410" s="299" t="n"/>
      <c r="H410" s="51" t="n"/>
    </row>
    <row r="411">
      <c r="B411" s="299" t="n"/>
      <c r="D411" s="53" t="n"/>
      <c r="F411" s="299" t="n"/>
      <c r="G411" s="299" t="n"/>
      <c r="H411" s="51" t="n"/>
    </row>
    <row r="412">
      <c r="B412" s="299" t="n"/>
      <c r="D412" s="53" t="n"/>
      <c r="F412" s="299" t="n"/>
      <c r="G412" s="299" t="n"/>
      <c r="H412" s="51" t="n"/>
    </row>
    <row r="413">
      <c r="B413" s="299" t="n"/>
      <c r="D413" s="53" t="n"/>
      <c r="F413" s="299" t="n"/>
      <c r="G413" s="299" t="n"/>
      <c r="H413" s="51" t="n"/>
    </row>
    <row r="414">
      <c r="B414" s="299" t="n"/>
      <c r="D414" s="53" t="n"/>
      <c r="F414" s="299" t="n"/>
      <c r="G414" s="299" t="n"/>
      <c r="H414" s="51" t="n"/>
    </row>
    <row r="415">
      <c r="B415" s="299" t="n"/>
      <c r="D415" s="53" t="n"/>
      <c r="F415" s="299" t="n"/>
      <c r="G415" s="299" t="n"/>
      <c r="H415" s="51" t="n"/>
    </row>
    <row r="416">
      <c r="B416" s="299" t="n"/>
      <c r="D416" s="53" t="n"/>
      <c r="F416" s="299" t="n"/>
      <c r="G416" s="299" t="n"/>
      <c r="H416" s="51" t="n"/>
    </row>
    <row r="417">
      <c r="B417" s="299" t="n"/>
      <c r="D417" s="53" t="n"/>
      <c r="F417" s="299" t="n"/>
      <c r="G417" s="299" t="n"/>
      <c r="H417" s="51" t="n"/>
    </row>
    <row r="418">
      <c r="B418" s="299" t="n"/>
      <c r="D418" s="53" t="n"/>
      <c r="F418" s="299" t="n"/>
      <c r="G418" s="299" t="n"/>
      <c r="H418" s="51" t="n"/>
    </row>
    <row r="419">
      <c r="B419" s="299" t="n"/>
      <c r="D419" s="53" t="n"/>
      <c r="F419" s="299" t="n"/>
      <c r="G419" s="299" t="n"/>
      <c r="H419" s="51" t="n"/>
    </row>
    <row r="420">
      <c r="B420" s="299" t="n"/>
      <c r="D420" s="53" t="n"/>
      <c r="F420" s="299" t="n"/>
      <c r="G420" s="299" t="n"/>
      <c r="H420" s="51" t="n"/>
    </row>
    <row r="421">
      <c r="B421" s="299" t="n"/>
      <c r="D421" s="53" t="n"/>
      <c r="F421" s="299" t="n"/>
      <c r="G421" s="299" t="n"/>
      <c r="H421" s="51" t="n"/>
    </row>
    <row r="422">
      <c r="B422" s="299" t="n"/>
      <c r="D422" s="53" t="n"/>
      <c r="F422" s="299" t="n"/>
      <c r="G422" s="299" t="n"/>
      <c r="H422" s="51" t="n"/>
    </row>
    <row r="423">
      <c r="B423" s="299" t="n"/>
      <c r="D423" s="53" t="n"/>
      <c r="F423" s="299" t="n"/>
      <c r="G423" s="299" t="n"/>
      <c r="H423" s="51" t="n"/>
    </row>
    <row r="424">
      <c r="B424" s="299" t="n"/>
      <c r="D424" s="53" t="n"/>
      <c r="F424" s="299" t="n"/>
      <c r="G424" s="299" t="n"/>
      <c r="H424" s="51" t="n"/>
    </row>
    <row r="425">
      <c r="B425" s="299" t="n"/>
      <c r="D425" s="53" t="n"/>
      <c r="F425" s="299" t="n"/>
      <c r="G425" s="299" t="n"/>
      <c r="H425" s="51" t="n"/>
    </row>
    <row r="426">
      <c r="B426" s="299" t="n"/>
      <c r="D426" s="53" t="n"/>
      <c r="F426" s="299" t="n"/>
      <c r="G426" s="299" t="n"/>
      <c r="H426" s="51" t="n"/>
    </row>
    <row r="427">
      <c r="B427" s="299" t="n"/>
      <c r="D427" s="53" t="n"/>
      <c r="F427" s="299" t="n"/>
      <c r="G427" s="299" t="n"/>
      <c r="H427" s="51" t="n"/>
    </row>
    <row r="428">
      <c r="B428" s="299" t="n"/>
      <c r="D428" s="53" t="n"/>
      <c r="F428" s="299" t="n"/>
      <c r="G428" s="299" t="n"/>
      <c r="H428" s="51" t="n"/>
    </row>
    <row r="429">
      <c r="B429" s="299" t="n"/>
      <c r="D429" s="53" t="n"/>
      <c r="F429" s="299" t="n"/>
      <c r="G429" s="299" t="n"/>
      <c r="H429" s="51" t="n"/>
    </row>
    <row r="430">
      <c r="B430" s="299" t="n"/>
      <c r="D430" s="53" t="n"/>
      <c r="F430" s="299" t="n"/>
      <c r="G430" s="299" t="n"/>
      <c r="H430" s="51" t="n"/>
    </row>
    <row r="431">
      <c r="B431" s="299" t="n"/>
      <c r="D431" s="53" t="n"/>
      <c r="F431" s="299" t="n"/>
      <c r="G431" s="299" t="n"/>
      <c r="H431" s="51" t="n"/>
    </row>
    <row r="432">
      <c r="B432" s="299" t="n"/>
      <c r="D432" s="53" t="n"/>
      <c r="F432" s="299" t="n"/>
      <c r="G432" s="299" t="n"/>
      <c r="H432" s="51" t="n"/>
    </row>
    <row r="433">
      <c r="B433" s="299" t="n"/>
      <c r="D433" s="53" t="n"/>
      <c r="F433" s="299" t="n"/>
      <c r="G433" s="299" t="n"/>
      <c r="H433" s="51" t="n"/>
    </row>
    <row r="434">
      <c r="B434" s="299" t="n"/>
      <c r="D434" s="53" t="n"/>
      <c r="F434" s="299" t="n"/>
      <c r="G434" s="299" t="n"/>
      <c r="H434" s="51" t="n"/>
    </row>
    <row r="435">
      <c r="B435" s="299" t="n"/>
      <c r="D435" s="53" t="n"/>
      <c r="F435" s="299" t="n"/>
      <c r="G435" s="299" t="n"/>
      <c r="H435" s="51" t="n"/>
    </row>
    <row r="436">
      <c r="B436" s="299" t="n"/>
      <c r="D436" s="53" t="n"/>
      <c r="F436" s="299" t="n"/>
      <c r="G436" s="299" t="n"/>
      <c r="H436" s="51" t="n"/>
    </row>
    <row r="437">
      <c r="B437" s="299" t="n"/>
      <c r="D437" s="53" t="n"/>
      <c r="F437" s="299" t="n"/>
      <c r="G437" s="299" t="n"/>
      <c r="H437" s="51" t="n"/>
    </row>
    <row r="438">
      <c r="B438" s="299" t="n"/>
      <c r="D438" s="53" t="n"/>
      <c r="F438" s="299" t="n"/>
      <c r="G438" s="299" t="n"/>
      <c r="H438" s="51" t="n"/>
    </row>
    <row r="439">
      <c r="B439" s="299" t="n"/>
      <c r="D439" s="53" t="n"/>
      <c r="F439" s="299" t="n"/>
      <c r="G439" s="299" t="n"/>
      <c r="H439" s="51" t="n"/>
    </row>
    <row r="440">
      <c r="B440" s="299" t="n"/>
      <c r="D440" s="53" t="n"/>
      <c r="F440" s="299" t="n"/>
      <c r="G440" s="299" t="n"/>
      <c r="H440" s="51" t="n"/>
    </row>
    <row r="441">
      <c r="B441" s="299" t="n"/>
      <c r="D441" s="53" t="n"/>
      <c r="F441" s="299" t="n"/>
      <c r="G441" s="299" t="n"/>
      <c r="H441" s="51" t="n"/>
    </row>
    <row r="442">
      <c r="B442" s="299" t="n"/>
      <c r="D442" s="53" t="n"/>
      <c r="F442" s="299" t="n"/>
      <c r="G442" s="299" t="n"/>
      <c r="H442" s="51" t="n"/>
    </row>
    <row r="443">
      <c r="B443" s="299" t="n"/>
      <c r="D443" s="53" t="n"/>
      <c r="F443" s="299" t="n"/>
      <c r="G443" s="299" t="n"/>
      <c r="H443" s="51" t="n"/>
    </row>
    <row r="444">
      <c r="B444" s="299" t="n"/>
      <c r="D444" s="53" t="n"/>
      <c r="F444" s="299" t="n"/>
      <c r="G444" s="299" t="n"/>
      <c r="H444" s="51" t="n"/>
    </row>
    <row r="445">
      <c r="B445" s="299" t="n"/>
      <c r="D445" s="53" t="n"/>
      <c r="F445" s="299" t="n"/>
      <c r="G445" s="299" t="n"/>
      <c r="H445" s="51" t="n"/>
    </row>
    <row r="446">
      <c r="B446" s="299" t="n"/>
      <c r="D446" s="53" t="n"/>
      <c r="F446" s="299" t="n"/>
      <c r="G446" s="299" t="n"/>
      <c r="H446" s="51" t="n"/>
    </row>
    <row r="447">
      <c r="B447" s="299" t="n"/>
      <c r="D447" s="53" t="n"/>
      <c r="F447" s="299" t="n"/>
      <c r="G447" s="299" t="n"/>
      <c r="H447" s="51" t="n"/>
    </row>
    <row r="448">
      <c r="B448" s="299" t="n"/>
      <c r="D448" s="53" t="n"/>
      <c r="F448" s="299" t="n"/>
      <c r="G448" s="299" t="n"/>
      <c r="H448" s="51" t="n"/>
    </row>
    <row r="449">
      <c r="B449" s="299" t="n"/>
      <c r="D449" s="53" t="n"/>
      <c r="F449" s="299" t="n"/>
      <c r="G449" s="299" t="n"/>
      <c r="H449" s="51" t="n"/>
    </row>
    <row r="450">
      <c r="B450" s="299" t="n"/>
      <c r="D450" s="53" t="n"/>
      <c r="F450" s="299" t="n"/>
      <c r="G450" s="299" t="n"/>
      <c r="H450" s="51" t="n"/>
    </row>
    <row r="451">
      <c r="B451" s="299" t="n"/>
      <c r="D451" s="53" t="n"/>
      <c r="F451" s="299" t="n"/>
      <c r="G451" s="299" t="n"/>
      <c r="H451" s="51" t="n"/>
    </row>
    <row r="452">
      <c r="B452" s="299" t="n"/>
      <c r="D452" s="53" t="n"/>
      <c r="F452" s="299" t="n"/>
      <c r="G452" s="299" t="n"/>
      <c r="H452" s="51" t="n"/>
    </row>
    <row r="453">
      <c r="B453" s="299" t="n"/>
      <c r="D453" s="53" t="n"/>
      <c r="F453" s="299" t="n"/>
      <c r="G453" s="299" t="n"/>
      <c r="H453" s="51" t="n"/>
    </row>
    <row r="454">
      <c r="B454" s="299" t="n"/>
      <c r="D454" s="53" t="n"/>
      <c r="F454" s="299" t="n"/>
      <c r="G454" s="299" t="n"/>
      <c r="H454" s="51" t="n"/>
    </row>
    <row r="455">
      <c r="B455" s="299" t="n"/>
      <c r="D455" s="53" t="n"/>
      <c r="F455" s="299" t="n"/>
      <c r="G455" s="299" t="n"/>
      <c r="H455" s="51" t="n"/>
    </row>
    <row r="456">
      <c r="B456" s="299" t="n"/>
      <c r="D456" s="53" t="n"/>
      <c r="F456" s="299" t="n"/>
      <c r="G456" s="299" t="n"/>
      <c r="H456" s="51" t="n"/>
    </row>
    <row r="457">
      <c r="B457" s="299" t="n"/>
      <c r="D457" s="53" t="n"/>
      <c r="F457" s="299" t="n"/>
      <c r="G457" s="299" t="n"/>
      <c r="H457" s="51" t="n"/>
    </row>
    <row r="458">
      <c r="B458" s="299" t="n"/>
      <c r="D458" s="53" t="n"/>
      <c r="F458" s="299" t="n"/>
      <c r="G458" s="299" t="n"/>
      <c r="H458" s="51" t="n"/>
    </row>
    <row r="459">
      <c r="B459" s="299" t="n"/>
      <c r="D459" s="53" t="n"/>
      <c r="F459" s="299" t="n"/>
      <c r="G459" s="299" t="n"/>
      <c r="H459" s="51" t="n"/>
    </row>
    <row r="460">
      <c r="B460" s="299" t="n"/>
      <c r="D460" s="53" t="n"/>
      <c r="F460" s="299" t="n"/>
      <c r="G460" s="299" t="n"/>
      <c r="H460" s="51" t="n"/>
    </row>
    <row r="461">
      <c r="B461" s="299" t="n"/>
      <c r="D461" s="53" t="n"/>
      <c r="F461" s="299" t="n"/>
      <c r="G461" s="299" t="n"/>
      <c r="H461" s="51" t="n"/>
    </row>
    <row r="462">
      <c r="B462" s="299" t="n"/>
      <c r="D462" s="53" t="n"/>
      <c r="F462" s="299" t="n"/>
      <c r="G462" s="299" t="n"/>
      <c r="H462" s="51" t="n"/>
    </row>
    <row r="463">
      <c r="B463" s="299" t="n"/>
      <c r="D463" s="53" t="n"/>
      <c r="F463" s="299" t="n"/>
      <c r="G463" s="299" t="n"/>
      <c r="H463" s="51" t="n"/>
    </row>
    <row r="464">
      <c r="B464" s="299" t="n"/>
      <c r="D464" s="53" t="n"/>
      <c r="F464" s="299" t="n"/>
      <c r="G464" s="299" t="n"/>
      <c r="H464" s="51" t="n"/>
    </row>
    <row r="465">
      <c r="B465" s="299" t="n"/>
      <c r="D465" s="53" t="n"/>
      <c r="F465" s="299" t="n"/>
      <c r="G465" s="299" t="n"/>
      <c r="H465" s="51" t="n"/>
    </row>
    <row r="466">
      <c r="B466" s="299" t="n"/>
      <c r="D466" s="53" t="n"/>
      <c r="F466" s="299" t="n"/>
      <c r="G466" s="299" t="n"/>
      <c r="H466" s="51" t="n"/>
    </row>
    <row r="467">
      <c r="B467" s="299" t="n"/>
      <c r="D467" s="53" t="n"/>
      <c r="F467" s="299" t="n"/>
      <c r="G467" s="299" t="n"/>
      <c r="H467" s="51" t="n"/>
    </row>
    <row r="468">
      <c r="B468" s="299" t="n"/>
      <c r="D468" s="53" t="n"/>
      <c r="F468" s="299" t="n"/>
      <c r="G468" s="299" t="n"/>
      <c r="H468" s="51" t="n"/>
    </row>
    <row r="469">
      <c r="B469" s="299" t="n"/>
      <c r="D469" s="53" t="n"/>
      <c r="F469" s="299" t="n"/>
      <c r="G469" s="299" t="n"/>
      <c r="H469" s="51" t="n"/>
    </row>
    <row r="470">
      <c r="B470" s="299" t="n"/>
      <c r="D470" s="53" t="n"/>
      <c r="F470" s="299" t="n"/>
      <c r="G470" s="299" t="n"/>
      <c r="H470" s="51" t="n"/>
    </row>
    <row r="471">
      <c r="B471" s="299" t="n"/>
      <c r="D471" s="53" t="n"/>
      <c r="F471" s="299" t="n"/>
      <c r="G471" s="299" t="n"/>
      <c r="H471" s="51" t="n"/>
    </row>
    <row r="472">
      <c r="B472" s="299" t="n"/>
      <c r="D472" s="53" t="n"/>
      <c r="F472" s="299" t="n"/>
      <c r="G472" s="299" t="n"/>
      <c r="H472" s="51" t="n"/>
    </row>
    <row r="473">
      <c r="B473" s="299" t="n"/>
      <c r="D473" s="53" t="n"/>
      <c r="F473" s="299" t="n"/>
      <c r="G473" s="299" t="n"/>
      <c r="H473" s="51" t="n"/>
    </row>
    <row r="474">
      <c r="B474" s="299" t="n"/>
      <c r="D474" s="53" t="n"/>
      <c r="F474" s="299" t="n"/>
      <c r="G474" s="299" t="n"/>
      <c r="H474" s="51" t="n"/>
    </row>
    <row r="475">
      <c r="B475" s="299" t="n"/>
      <c r="D475" s="53" t="n"/>
      <c r="F475" s="299" t="n"/>
      <c r="G475" s="299" t="n"/>
      <c r="H475" s="51" t="n"/>
    </row>
    <row r="476">
      <c r="B476" s="299" t="n"/>
      <c r="D476" s="53" t="n"/>
      <c r="F476" s="299" t="n"/>
      <c r="G476" s="299" t="n"/>
      <c r="H476" s="51" t="n"/>
    </row>
    <row r="477">
      <c r="B477" s="299" t="n"/>
      <c r="D477" s="53" t="n"/>
      <c r="F477" s="299" t="n"/>
      <c r="G477" s="299" t="n"/>
      <c r="H477" s="51" t="n"/>
    </row>
    <row r="478">
      <c r="B478" s="299" t="n"/>
      <c r="D478" s="53" t="n"/>
      <c r="F478" s="299" t="n"/>
      <c r="G478" s="299" t="n"/>
      <c r="H478" s="51" t="n"/>
    </row>
    <row r="479">
      <c r="B479" s="299" t="n"/>
      <c r="D479" s="53" t="n"/>
      <c r="F479" s="299" t="n"/>
      <c r="G479" s="299" t="n"/>
      <c r="H479" s="51" t="n"/>
    </row>
    <row r="480">
      <c r="B480" s="299" t="n"/>
      <c r="D480" s="53" t="n"/>
      <c r="F480" s="299" t="n"/>
      <c r="G480" s="299" t="n"/>
      <c r="H480" s="51" t="n"/>
    </row>
    <row r="481">
      <c r="B481" s="299" t="n"/>
      <c r="D481" s="53" t="n"/>
      <c r="F481" s="299" t="n"/>
      <c r="G481" s="299" t="n"/>
      <c r="H481" s="51" t="n"/>
    </row>
    <row r="482">
      <c r="B482" s="299" t="n"/>
      <c r="D482" s="53" t="n"/>
      <c r="F482" s="299" t="n"/>
      <c r="G482" s="299" t="n"/>
      <c r="H482" s="51" t="n"/>
    </row>
    <row r="483">
      <c r="B483" s="299" t="n"/>
      <c r="D483" s="53" t="n"/>
      <c r="F483" s="299" t="n"/>
      <c r="G483" s="299" t="n"/>
      <c r="H483" s="51" t="n"/>
    </row>
    <row r="484">
      <c r="B484" s="299" t="n"/>
      <c r="D484" s="53" t="n"/>
      <c r="F484" s="299" t="n"/>
      <c r="G484" s="299" t="n"/>
      <c r="H484" s="51" t="n"/>
    </row>
    <row r="485">
      <c r="B485" s="299" t="n"/>
      <c r="D485" s="53" t="n"/>
      <c r="F485" s="299" t="n"/>
      <c r="G485" s="299" t="n"/>
      <c r="H485" s="51" t="n"/>
    </row>
    <row r="486">
      <c r="B486" s="299" t="n"/>
      <c r="D486" s="53" t="n"/>
      <c r="F486" s="299" t="n"/>
      <c r="G486" s="299" t="n"/>
      <c r="H486" s="51" t="n"/>
    </row>
    <row r="487">
      <c r="B487" s="299" t="n"/>
      <c r="D487" s="53" t="n"/>
      <c r="F487" s="299" t="n"/>
      <c r="G487" s="299" t="n"/>
      <c r="H487" s="51" t="n"/>
    </row>
    <row r="488">
      <c r="B488" s="299" t="n"/>
      <c r="D488" s="53" t="n"/>
      <c r="F488" s="299" t="n"/>
      <c r="G488" s="299" t="n"/>
      <c r="H488" s="51" t="n"/>
    </row>
    <row r="489">
      <c r="B489" s="299" t="n"/>
      <c r="D489" s="53" t="n"/>
      <c r="F489" s="299" t="n"/>
      <c r="G489" s="299" t="n"/>
      <c r="H489" s="51" t="n"/>
    </row>
    <row r="490">
      <c r="B490" s="299" t="n"/>
      <c r="D490" s="53" t="n"/>
      <c r="F490" s="299" t="n"/>
      <c r="G490" s="299" t="n"/>
      <c r="H490" s="51" t="n"/>
    </row>
    <row r="491">
      <c r="B491" s="299" t="n"/>
      <c r="D491" s="53" t="n"/>
      <c r="F491" s="299" t="n"/>
      <c r="G491" s="299" t="n"/>
      <c r="H491" s="51" t="n"/>
    </row>
    <row r="492">
      <c r="B492" s="299" t="n"/>
      <c r="D492" s="53" t="n"/>
      <c r="F492" s="299" t="n"/>
      <c r="G492" s="299" t="n"/>
      <c r="H492" s="51" t="n"/>
    </row>
    <row r="493">
      <c r="B493" s="299" t="n"/>
      <c r="D493" s="53" t="n"/>
      <c r="F493" s="299" t="n"/>
      <c r="G493" s="299" t="n"/>
      <c r="H493" s="51" t="n"/>
    </row>
    <row r="494">
      <c r="B494" s="299" t="n"/>
      <c r="D494" s="53" t="n"/>
      <c r="F494" s="299" t="n"/>
      <c r="G494" s="299" t="n"/>
      <c r="H494" s="51" t="n"/>
    </row>
    <row r="495">
      <c r="B495" s="299" t="n"/>
      <c r="D495" s="53" t="n"/>
      <c r="F495" s="299" t="n"/>
      <c r="G495" s="299" t="n"/>
      <c r="H495" s="51" t="n"/>
    </row>
    <row r="496">
      <c r="B496" s="299" t="n"/>
      <c r="D496" s="53" t="n"/>
      <c r="F496" s="299" t="n"/>
      <c r="G496" s="299" t="n"/>
      <c r="H496" s="51" t="n"/>
    </row>
    <row r="497">
      <c r="B497" s="299" t="n"/>
      <c r="D497" s="53" t="n"/>
      <c r="F497" s="299" t="n"/>
      <c r="G497" s="299" t="n"/>
      <c r="H497" s="51" t="n"/>
    </row>
    <row r="498">
      <c r="B498" s="299" t="n"/>
      <c r="D498" s="53" t="n"/>
      <c r="F498" s="299" t="n"/>
      <c r="G498" s="299" t="n"/>
      <c r="H498" s="51" t="n"/>
    </row>
    <row r="499">
      <c r="B499" s="299" t="n"/>
      <c r="D499" s="53" t="n"/>
      <c r="F499" s="299" t="n"/>
      <c r="G499" s="299" t="n"/>
      <c r="H499" s="51" t="n"/>
    </row>
    <row r="500">
      <c r="B500" s="299" t="n"/>
      <c r="D500" s="53" t="n"/>
      <c r="F500" s="299" t="n"/>
      <c r="G500" s="299" t="n"/>
      <c r="H500" s="51" t="n"/>
    </row>
    <row r="501">
      <c r="B501" s="299" t="n"/>
      <c r="D501" s="53" t="n"/>
      <c r="F501" s="299" t="n"/>
      <c r="G501" s="299" t="n"/>
      <c r="H501" s="51" t="n"/>
    </row>
    <row r="502">
      <c r="B502" s="299" t="n"/>
      <c r="D502" s="53" t="n"/>
      <c r="F502" s="299" t="n"/>
      <c r="G502" s="299" t="n"/>
      <c r="H502" s="51" t="n"/>
    </row>
    <row r="503">
      <c r="B503" s="299" t="n"/>
      <c r="D503" s="53" t="n"/>
      <c r="F503" s="299" t="n"/>
      <c r="G503" s="299" t="n"/>
      <c r="H503" s="51" t="n"/>
    </row>
    <row r="504">
      <c r="B504" s="299" t="n"/>
      <c r="D504" s="53" t="n"/>
      <c r="F504" s="299" t="n"/>
      <c r="G504" s="299" t="n"/>
      <c r="H504" s="51" t="n"/>
    </row>
    <row r="505">
      <c r="B505" s="299" t="n"/>
      <c r="D505" s="53" t="n"/>
      <c r="F505" s="299" t="n"/>
      <c r="G505" s="299" t="n"/>
      <c r="H505" s="51" t="n"/>
    </row>
    <row r="506">
      <c r="B506" s="299" t="n"/>
      <c r="D506" s="53" t="n"/>
      <c r="F506" s="299" t="n"/>
      <c r="G506" s="299" t="n"/>
      <c r="H506" s="51" t="n"/>
    </row>
    <row r="507">
      <c r="B507" s="299" t="n"/>
      <c r="D507" s="53" t="n"/>
      <c r="F507" s="299" t="n"/>
      <c r="G507" s="299" t="n"/>
      <c r="H507" s="51" t="n"/>
    </row>
    <row r="508">
      <c r="B508" s="299" t="n"/>
      <c r="D508" s="53" t="n"/>
      <c r="F508" s="299" t="n"/>
      <c r="G508" s="299" t="n"/>
      <c r="H508" s="51" t="n"/>
    </row>
    <row r="509">
      <c r="B509" s="299" t="n"/>
      <c r="D509" s="53" t="n"/>
      <c r="F509" s="299" t="n"/>
      <c r="G509" s="299" t="n"/>
      <c r="H509" s="51" t="n"/>
    </row>
    <row r="510">
      <c r="B510" s="299" t="n"/>
      <c r="D510" s="53" t="n"/>
      <c r="F510" s="299" t="n"/>
      <c r="G510" s="299" t="n"/>
      <c r="H510" s="51" t="n"/>
    </row>
    <row r="511">
      <c r="B511" s="299" t="n"/>
      <c r="D511" s="53" t="n"/>
      <c r="F511" s="299" t="n"/>
      <c r="G511" s="299" t="n"/>
      <c r="H511" s="51" t="n"/>
    </row>
    <row r="512">
      <c r="B512" s="299" t="n"/>
      <c r="D512" s="53" t="n"/>
      <c r="F512" s="299" t="n"/>
      <c r="G512" s="299" t="n"/>
      <c r="H512" s="51" t="n"/>
    </row>
    <row r="513">
      <c r="B513" s="299" t="n"/>
      <c r="D513" s="53" t="n"/>
      <c r="F513" s="299" t="n"/>
      <c r="G513" s="299" t="n"/>
      <c r="H513" s="51" t="n"/>
    </row>
    <row r="514">
      <c r="B514" s="299" t="n"/>
      <c r="D514" s="53" t="n"/>
      <c r="F514" s="299" t="n"/>
      <c r="G514" s="299" t="n"/>
      <c r="H514" s="51" t="n"/>
    </row>
    <row r="515">
      <c r="B515" s="299" t="n"/>
      <c r="D515" s="53" t="n"/>
      <c r="F515" s="299" t="n"/>
      <c r="G515" s="299" t="n"/>
      <c r="H515" s="51" t="n"/>
    </row>
    <row r="516">
      <c r="B516" s="299" t="n"/>
      <c r="D516" s="53" t="n"/>
      <c r="F516" s="299" t="n"/>
      <c r="G516" s="299" t="n"/>
      <c r="H516" s="51" t="n"/>
    </row>
    <row r="517">
      <c r="B517" s="299" t="n"/>
      <c r="D517" s="53" t="n"/>
      <c r="F517" s="299" t="n"/>
      <c r="G517" s="299" t="n"/>
      <c r="H517" s="51" t="n"/>
    </row>
    <row r="518">
      <c r="B518" s="299" t="n"/>
      <c r="D518" s="53" t="n"/>
      <c r="F518" s="299" t="n"/>
      <c r="G518" s="299" t="n"/>
      <c r="H518" s="51" t="n"/>
    </row>
    <row r="519">
      <c r="B519" s="299" t="n"/>
      <c r="D519" s="53" t="n"/>
      <c r="F519" s="299" t="n"/>
      <c r="G519" s="299" t="n"/>
      <c r="H519" s="51" t="n"/>
    </row>
    <row r="520">
      <c r="B520" s="299" t="n"/>
      <c r="D520" s="53" t="n"/>
      <c r="F520" s="299" t="n"/>
      <c r="G520" s="299" t="n"/>
      <c r="H520" s="51" t="n"/>
    </row>
    <row r="521">
      <c r="B521" s="299" t="n"/>
      <c r="D521" s="53" t="n"/>
      <c r="F521" s="299" t="n"/>
      <c r="G521" s="299" t="n"/>
      <c r="H521" s="51" t="n"/>
    </row>
    <row r="522">
      <c r="B522" s="299" t="n"/>
      <c r="D522" s="53" t="n"/>
      <c r="F522" s="299" t="n"/>
      <c r="G522" s="299" t="n"/>
      <c r="H522" s="51" t="n"/>
    </row>
    <row r="523">
      <c r="B523" s="299" t="n"/>
      <c r="D523" s="53" t="n"/>
      <c r="F523" s="299" t="n"/>
      <c r="G523" s="299" t="n"/>
      <c r="H523" s="51" t="n"/>
    </row>
    <row r="524">
      <c r="B524" s="299" t="n"/>
      <c r="D524" s="53" t="n"/>
      <c r="F524" s="299" t="n"/>
      <c r="G524" s="299" t="n"/>
      <c r="H524" s="51" t="n"/>
    </row>
    <row r="525">
      <c r="B525" s="299" t="n"/>
      <c r="D525" s="53" t="n"/>
      <c r="F525" s="299" t="n"/>
      <c r="G525" s="299" t="n"/>
      <c r="H525" s="51" t="n"/>
    </row>
    <row r="526">
      <c r="B526" s="299" t="n"/>
      <c r="D526" s="53" t="n"/>
      <c r="F526" s="299" t="n"/>
      <c r="G526" s="299" t="n"/>
      <c r="H526" s="51" t="n"/>
    </row>
    <row r="527">
      <c r="B527" s="299" t="n"/>
      <c r="D527" s="53" t="n"/>
      <c r="F527" s="299" t="n"/>
      <c r="G527" s="299" t="n"/>
      <c r="H527" s="51" t="n"/>
    </row>
    <row r="528">
      <c r="B528" s="299" t="n"/>
      <c r="D528" s="53" t="n"/>
      <c r="F528" s="299" t="n"/>
      <c r="G528" s="299" t="n"/>
      <c r="H528" s="51" t="n"/>
    </row>
    <row r="529">
      <c r="B529" s="299" t="n"/>
      <c r="D529" s="53" t="n"/>
      <c r="F529" s="299" t="n"/>
      <c r="G529" s="299" t="n"/>
      <c r="H529" s="51" t="n"/>
    </row>
    <row r="530">
      <c r="B530" s="299" t="n"/>
      <c r="D530" s="53" t="n"/>
      <c r="F530" s="299" t="n"/>
      <c r="G530" s="299" t="n"/>
      <c r="H530" s="51" t="n"/>
    </row>
    <row r="531">
      <c r="B531" s="299" t="n"/>
      <c r="D531" s="53" t="n"/>
      <c r="F531" s="299" t="n"/>
      <c r="G531" s="299" t="n"/>
      <c r="H531" s="51" t="n"/>
    </row>
    <row r="532">
      <c r="B532" s="299" t="n"/>
      <c r="D532" s="53" t="n"/>
      <c r="F532" s="299" t="n"/>
      <c r="G532" s="299" t="n"/>
      <c r="H532" s="51" t="n"/>
    </row>
    <row r="533">
      <c r="B533" s="299" t="n"/>
      <c r="D533" s="53" t="n"/>
      <c r="F533" s="299" t="n"/>
      <c r="G533" s="299" t="n"/>
      <c r="H533" s="51" t="n"/>
    </row>
    <row r="534">
      <c r="B534" s="299" t="n"/>
      <c r="D534" s="53" t="n"/>
      <c r="F534" s="299" t="n"/>
      <c r="G534" s="299" t="n"/>
      <c r="H534" s="51" t="n"/>
    </row>
    <row r="535">
      <c r="B535" s="299" t="n"/>
      <c r="D535" s="53" t="n"/>
      <c r="F535" s="299" t="n"/>
      <c r="G535" s="299" t="n"/>
      <c r="H535" s="51" t="n"/>
    </row>
    <row r="536">
      <c r="B536" s="299" t="n"/>
      <c r="D536" s="53" t="n"/>
      <c r="F536" s="299" t="n"/>
      <c r="G536" s="299" t="n"/>
      <c r="H536" s="51" t="n"/>
    </row>
    <row r="537">
      <c r="B537" s="299" t="n"/>
      <c r="D537" s="53" t="n"/>
      <c r="F537" s="299" t="n"/>
      <c r="G537" s="299" t="n"/>
      <c r="H537" s="51" t="n"/>
    </row>
    <row r="538">
      <c r="B538" s="299" t="n"/>
      <c r="D538" s="53" t="n"/>
      <c r="F538" s="299" t="n"/>
      <c r="G538" s="299" t="n"/>
      <c r="H538" s="51" t="n"/>
    </row>
    <row r="539">
      <c r="B539" s="299" t="n"/>
      <c r="D539" s="53" t="n"/>
      <c r="F539" s="299" t="n"/>
      <c r="G539" s="299" t="n"/>
      <c r="H539" s="51" t="n"/>
    </row>
    <row r="540">
      <c r="B540" s="299" t="n"/>
      <c r="D540" s="53" t="n"/>
      <c r="F540" s="299" t="n"/>
      <c r="G540" s="299" t="n"/>
      <c r="H540" s="51" t="n"/>
    </row>
    <row r="541">
      <c r="B541" s="299" t="n"/>
      <c r="D541" s="53" t="n"/>
      <c r="F541" s="299" t="n"/>
      <c r="G541" s="299" t="n"/>
      <c r="H541" s="51" t="n"/>
    </row>
    <row r="542">
      <c r="B542" s="299" t="n"/>
      <c r="D542" s="53" t="n"/>
      <c r="F542" s="299" t="n"/>
      <c r="G542" s="299" t="n"/>
      <c r="H542" s="51" t="n"/>
    </row>
    <row r="543">
      <c r="B543" s="299" t="n"/>
      <c r="D543" s="53" t="n"/>
      <c r="F543" s="299" t="n"/>
      <c r="G543" s="299" t="n"/>
      <c r="H543" s="51" t="n"/>
    </row>
    <row r="544">
      <c r="B544" s="299" t="n"/>
      <c r="D544" s="53" t="n"/>
      <c r="F544" s="299" t="n"/>
      <c r="G544" s="299" t="n"/>
      <c r="H544" s="51" t="n"/>
    </row>
    <row r="545">
      <c r="B545" s="299" t="n"/>
      <c r="D545" s="53" t="n"/>
      <c r="F545" s="299" t="n"/>
      <c r="G545" s="299" t="n"/>
      <c r="H545" s="51" t="n"/>
    </row>
    <row r="546">
      <c r="B546" s="299" t="n"/>
      <c r="D546" s="53" t="n"/>
      <c r="F546" s="299" t="n"/>
      <c r="G546" s="299" t="n"/>
      <c r="H546" s="51" t="n"/>
    </row>
    <row r="547">
      <c r="B547" s="299" t="n"/>
      <c r="D547" s="53" t="n"/>
      <c r="F547" s="299" t="n"/>
      <c r="G547" s="299" t="n"/>
      <c r="H547" s="51" t="n"/>
    </row>
    <row r="548">
      <c r="B548" s="299" t="n"/>
      <c r="D548" s="53" t="n"/>
      <c r="F548" s="299" t="n"/>
      <c r="G548" s="299" t="n"/>
      <c r="H548" s="51" t="n"/>
    </row>
    <row r="549">
      <c r="B549" s="299" t="n"/>
      <c r="D549" s="53" t="n"/>
      <c r="F549" s="299" t="n"/>
      <c r="G549" s="299" t="n"/>
      <c r="H549" s="51" t="n"/>
    </row>
    <row r="550">
      <c r="B550" s="299" t="n"/>
      <c r="D550" s="53" t="n"/>
      <c r="F550" s="299" t="n"/>
      <c r="G550" s="299" t="n"/>
      <c r="H550" s="51" t="n"/>
    </row>
    <row r="551">
      <c r="B551" s="299" t="n"/>
      <c r="D551" s="53" t="n"/>
      <c r="F551" s="299" t="n"/>
      <c r="G551" s="299" t="n"/>
      <c r="H551" s="51" t="n"/>
    </row>
    <row r="552">
      <c r="B552" s="299" t="n"/>
      <c r="D552" s="53" t="n"/>
      <c r="F552" s="299" t="n"/>
      <c r="G552" s="299" t="n"/>
      <c r="H552" s="51" t="n"/>
    </row>
    <row r="553">
      <c r="B553" s="299" t="n"/>
      <c r="D553" s="53" t="n"/>
      <c r="F553" s="299" t="n"/>
      <c r="G553" s="299" t="n"/>
      <c r="H553" s="51" t="n"/>
    </row>
    <row r="554">
      <c r="B554" s="299" t="n"/>
      <c r="D554" s="53" t="n"/>
      <c r="F554" s="299" t="n"/>
      <c r="G554" s="299" t="n"/>
      <c r="H554" s="51" t="n"/>
    </row>
    <row r="555">
      <c r="B555" s="299" t="n"/>
      <c r="D555" s="53" t="n"/>
      <c r="F555" s="299" t="n"/>
      <c r="G555" s="299" t="n"/>
      <c r="H555" s="51" t="n"/>
    </row>
    <row r="556">
      <c r="B556" s="299" t="n"/>
      <c r="D556" s="53" t="n"/>
      <c r="F556" s="299" t="n"/>
      <c r="G556" s="299" t="n"/>
      <c r="H556" s="51" t="n"/>
    </row>
    <row r="557">
      <c r="B557" s="299" t="n"/>
      <c r="D557" s="53" t="n"/>
      <c r="F557" s="299" t="n"/>
      <c r="G557" s="299" t="n"/>
      <c r="H557" s="51" t="n"/>
    </row>
    <row r="558">
      <c r="B558" s="299" t="n"/>
      <c r="D558" s="53" t="n"/>
      <c r="F558" s="299" t="n"/>
      <c r="G558" s="299" t="n"/>
      <c r="H558" s="51" t="n"/>
    </row>
    <row r="559">
      <c r="B559" s="299" t="n"/>
      <c r="D559" s="53" t="n"/>
      <c r="F559" s="299" t="n"/>
      <c r="G559" s="299" t="n"/>
      <c r="H559" s="51" t="n"/>
    </row>
    <row r="560">
      <c r="B560" s="299" t="n"/>
      <c r="D560" s="53" t="n"/>
      <c r="F560" s="299" t="n"/>
      <c r="G560" s="299" t="n"/>
      <c r="H560" s="51" t="n"/>
    </row>
    <row r="561">
      <c r="B561" s="299" t="n"/>
      <c r="D561" s="53" t="n"/>
      <c r="F561" s="299" t="n"/>
      <c r="G561" s="299" t="n"/>
      <c r="H561" s="51" t="n"/>
    </row>
    <row r="562">
      <c r="B562" s="299" t="n"/>
      <c r="D562" s="53" t="n"/>
      <c r="F562" s="299" t="n"/>
      <c r="G562" s="299" t="n"/>
      <c r="H562" s="51" t="n"/>
    </row>
    <row r="563">
      <c r="B563" s="299" t="n"/>
      <c r="D563" s="53" t="n"/>
      <c r="F563" s="299" t="n"/>
      <c r="G563" s="299" t="n"/>
      <c r="H563" s="51" t="n"/>
    </row>
    <row r="564">
      <c r="B564" s="299" t="n"/>
      <c r="D564" s="53" t="n"/>
      <c r="F564" s="299" t="n"/>
      <c r="G564" s="299" t="n"/>
      <c r="H564" s="51" t="n"/>
    </row>
    <row r="565">
      <c r="B565" s="299" t="n"/>
      <c r="D565" s="53" t="n"/>
      <c r="F565" s="299" t="n"/>
      <c r="G565" s="299" t="n"/>
      <c r="H565" s="51" t="n"/>
    </row>
    <row r="566">
      <c r="B566" s="299" t="n"/>
      <c r="D566" s="53" t="n"/>
      <c r="F566" s="299" t="n"/>
      <c r="G566" s="299" t="n"/>
      <c r="H566" s="51" t="n"/>
    </row>
    <row r="567">
      <c r="B567" s="299" t="n"/>
      <c r="D567" s="53" t="n"/>
      <c r="F567" s="299" t="n"/>
      <c r="G567" s="299" t="n"/>
      <c r="H567" s="51" t="n"/>
    </row>
    <row r="568">
      <c r="B568" s="299" t="n"/>
      <c r="D568" s="53" t="n"/>
      <c r="F568" s="299" t="n"/>
      <c r="G568" s="299" t="n"/>
      <c r="H568" s="51" t="n"/>
    </row>
    <row r="569">
      <c r="B569" s="299" t="n"/>
      <c r="D569" s="53" t="n"/>
      <c r="F569" s="299" t="n"/>
      <c r="G569" s="299" t="n"/>
      <c r="H569" s="51" t="n"/>
    </row>
    <row r="570">
      <c r="B570" s="299" t="n"/>
      <c r="D570" s="53" t="n"/>
      <c r="F570" s="299" t="n"/>
      <c r="G570" s="299" t="n"/>
      <c r="H570" s="51" t="n"/>
    </row>
    <row r="571">
      <c r="B571" s="299" t="n"/>
      <c r="D571" s="53" t="n"/>
      <c r="F571" s="299" t="n"/>
      <c r="G571" s="299" t="n"/>
      <c r="H571" s="51" t="n"/>
    </row>
    <row r="572">
      <c r="B572" s="299" t="n"/>
      <c r="D572" s="53" t="n"/>
      <c r="F572" s="299" t="n"/>
      <c r="G572" s="299" t="n"/>
      <c r="H572" s="51" t="n"/>
    </row>
    <row r="573">
      <c r="B573" s="299" t="n"/>
      <c r="D573" s="53" t="n"/>
      <c r="F573" s="299" t="n"/>
      <c r="G573" s="299" t="n"/>
      <c r="H573" s="51" t="n"/>
    </row>
    <row r="574">
      <c r="B574" s="299" t="n"/>
      <c r="D574" s="53" t="n"/>
      <c r="F574" s="299" t="n"/>
      <c r="G574" s="299" t="n"/>
      <c r="H574" s="51" t="n"/>
    </row>
    <row r="575">
      <c r="B575" s="299" t="n"/>
      <c r="D575" s="53" t="n"/>
      <c r="F575" s="299" t="n"/>
      <c r="G575" s="299" t="n"/>
      <c r="H575" s="51" t="n"/>
    </row>
    <row r="576">
      <c r="B576" s="299" t="n"/>
      <c r="D576" s="53" t="n"/>
      <c r="F576" s="299" t="n"/>
      <c r="G576" s="299" t="n"/>
      <c r="H576" s="51" t="n"/>
    </row>
    <row r="577">
      <c r="B577" s="299" t="n"/>
      <c r="D577" s="53" t="n"/>
      <c r="F577" s="299" t="n"/>
      <c r="G577" s="299" t="n"/>
      <c r="H577" s="51" t="n"/>
    </row>
    <row r="578">
      <c r="B578" s="299" t="n"/>
      <c r="D578" s="53" t="n"/>
      <c r="F578" s="299" t="n"/>
      <c r="G578" s="299" t="n"/>
      <c r="H578" s="51" t="n"/>
    </row>
    <row r="579">
      <c r="B579" s="299" t="n"/>
      <c r="D579" s="53" t="n"/>
      <c r="F579" s="299" t="n"/>
      <c r="G579" s="299" t="n"/>
      <c r="H579" s="51" t="n"/>
    </row>
    <row r="580">
      <c r="B580" s="299" t="n"/>
      <c r="D580" s="53" t="n"/>
      <c r="F580" s="299" t="n"/>
      <c r="G580" s="299" t="n"/>
      <c r="H580" s="51" t="n"/>
    </row>
    <row r="581">
      <c r="B581" s="299" t="n"/>
      <c r="D581" s="53" t="n"/>
      <c r="F581" s="299" t="n"/>
      <c r="G581" s="299" t="n"/>
      <c r="H581" s="51" t="n"/>
    </row>
    <row r="582">
      <c r="B582" s="299" t="n"/>
      <c r="D582" s="53" t="n"/>
      <c r="F582" s="299" t="n"/>
      <c r="G582" s="299" t="n"/>
      <c r="H582" s="51" t="n"/>
    </row>
    <row r="583">
      <c r="B583" s="299" t="n"/>
      <c r="D583" s="53" t="n"/>
      <c r="F583" s="299" t="n"/>
      <c r="G583" s="299" t="n"/>
      <c r="H583" s="51" t="n"/>
    </row>
    <row r="584">
      <c r="B584" s="299" t="n"/>
      <c r="D584" s="53" t="n"/>
      <c r="F584" s="299" t="n"/>
      <c r="G584" s="299" t="n"/>
      <c r="H584" s="51" t="n"/>
    </row>
    <row r="585">
      <c r="B585" s="299" t="n"/>
      <c r="D585" s="53" t="n"/>
      <c r="F585" s="299" t="n"/>
      <c r="G585" s="299" t="n"/>
      <c r="H585" s="51" t="n"/>
    </row>
    <row r="586">
      <c r="B586" s="299" t="n"/>
      <c r="D586" s="53" t="n"/>
      <c r="F586" s="299" t="n"/>
      <c r="G586" s="299" t="n"/>
      <c r="H586" s="51" t="n"/>
    </row>
    <row r="587">
      <c r="B587" s="299" t="n"/>
      <c r="D587" s="53" t="n"/>
      <c r="F587" s="299" t="n"/>
      <c r="G587" s="299" t="n"/>
      <c r="H587" s="51" t="n"/>
    </row>
    <row r="588">
      <c r="B588" s="299" t="n"/>
      <c r="D588" s="53" t="n"/>
      <c r="F588" s="299" t="n"/>
      <c r="G588" s="299" t="n"/>
      <c r="H588" s="51" t="n"/>
    </row>
    <row r="589">
      <c r="B589" s="299" t="n"/>
      <c r="D589" s="53" t="n"/>
      <c r="F589" s="299" t="n"/>
      <c r="G589" s="299" t="n"/>
      <c r="H589" s="51" t="n"/>
    </row>
    <row r="590">
      <c r="B590" s="299" t="n"/>
      <c r="D590" s="53" t="n"/>
      <c r="F590" s="299" t="n"/>
      <c r="G590" s="299" t="n"/>
      <c r="H590" s="51" t="n"/>
    </row>
    <row r="591">
      <c r="B591" s="299" t="n"/>
      <c r="D591" s="53" t="n"/>
      <c r="F591" s="299" t="n"/>
      <c r="G591" s="299" t="n"/>
      <c r="H591" s="51" t="n"/>
    </row>
    <row r="592">
      <c r="B592" s="299" t="n"/>
      <c r="D592" s="53" t="n"/>
      <c r="F592" s="299" t="n"/>
      <c r="G592" s="299" t="n"/>
      <c r="H592" s="51" t="n"/>
    </row>
    <row r="593">
      <c r="B593" s="299" t="n"/>
      <c r="D593" s="53" t="n"/>
      <c r="F593" s="299" t="n"/>
      <c r="G593" s="299" t="n"/>
      <c r="H593" s="51" t="n"/>
    </row>
    <row r="594">
      <c r="B594" s="299" t="n"/>
      <c r="D594" s="53" t="n"/>
      <c r="F594" s="299" t="n"/>
      <c r="G594" s="299" t="n"/>
      <c r="H594" s="51" t="n"/>
    </row>
    <row r="595">
      <c r="B595" s="299" t="n"/>
      <c r="D595" s="53" t="n"/>
      <c r="F595" s="299" t="n"/>
      <c r="G595" s="299" t="n"/>
      <c r="H595" s="51" t="n"/>
    </row>
    <row r="596">
      <c r="B596" s="299" t="n"/>
      <c r="D596" s="53" t="n"/>
      <c r="F596" s="299" t="n"/>
      <c r="G596" s="299" t="n"/>
      <c r="H596" s="51" t="n"/>
    </row>
    <row r="597">
      <c r="B597" s="299" t="n"/>
      <c r="D597" s="53" t="n"/>
      <c r="F597" s="299" t="n"/>
      <c r="G597" s="299" t="n"/>
      <c r="H597" s="51" t="n"/>
    </row>
    <row r="598">
      <c r="B598" s="299" t="n"/>
      <c r="D598" s="53" t="n"/>
      <c r="F598" s="299" t="n"/>
      <c r="G598" s="299" t="n"/>
      <c r="H598" s="51" t="n"/>
    </row>
    <row r="599">
      <c r="B599" s="299" t="n"/>
      <c r="D599" s="53" t="n"/>
      <c r="F599" s="299" t="n"/>
      <c r="G599" s="299" t="n"/>
      <c r="H599" s="51" t="n"/>
    </row>
    <row r="600">
      <c r="B600" s="299" t="n"/>
      <c r="D600" s="53" t="n"/>
      <c r="F600" s="299" t="n"/>
      <c r="G600" s="299" t="n"/>
      <c r="H600" s="51" t="n"/>
    </row>
    <row r="601">
      <c r="B601" s="299" t="n"/>
      <c r="D601" s="53" t="n"/>
      <c r="F601" s="299" t="n"/>
      <c r="G601" s="299" t="n"/>
      <c r="H601" s="51" t="n"/>
    </row>
    <row r="602">
      <c r="B602" s="299" t="n"/>
      <c r="D602" s="53" t="n"/>
      <c r="F602" s="299" t="n"/>
      <c r="G602" s="299" t="n"/>
      <c r="H602" s="51" t="n"/>
    </row>
    <row r="603">
      <c r="B603" s="299" t="n"/>
      <c r="D603" s="53" t="n"/>
      <c r="F603" s="299" t="n"/>
      <c r="G603" s="299" t="n"/>
      <c r="H603" s="51" t="n"/>
    </row>
    <row r="604">
      <c r="B604" s="299" t="n"/>
      <c r="D604" s="53" t="n"/>
      <c r="F604" s="299" t="n"/>
      <c r="G604" s="299" t="n"/>
      <c r="H604" s="51" t="n"/>
    </row>
    <row r="605">
      <c r="B605" s="299" t="n"/>
      <c r="D605" s="53" t="n"/>
      <c r="F605" s="299" t="n"/>
      <c r="G605" s="299" t="n"/>
      <c r="H605" s="51" t="n"/>
    </row>
    <row r="606">
      <c r="B606" s="299" t="n"/>
      <c r="D606" s="53" t="n"/>
      <c r="F606" s="299" t="n"/>
      <c r="G606" s="299" t="n"/>
      <c r="H606" s="51" t="n"/>
    </row>
    <row r="607">
      <c r="B607" s="299" t="n"/>
      <c r="D607" s="53" t="n"/>
      <c r="F607" s="299" t="n"/>
      <c r="G607" s="299" t="n"/>
      <c r="H607" s="51" t="n"/>
    </row>
    <row r="608">
      <c r="B608" s="299" t="n"/>
      <c r="D608" s="53" t="n"/>
      <c r="F608" s="299" t="n"/>
      <c r="G608" s="299" t="n"/>
      <c r="H608" s="51" t="n"/>
    </row>
    <row r="609">
      <c r="B609" s="299" t="n"/>
      <c r="D609" s="53" t="n"/>
      <c r="F609" s="299" t="n"/>
      <c r="G609" s="299" t="n"/>
      <c r="H609" s="51" t="n"/>
    </row>
    <row r="610">
      <c r="B610" s="299" t="n"/>
      <c r="D610" s="53" t="n"/>
      <c r="F610" s="299" t="n"/>
      <c r="G610" s="299" t="n"/>
      <c r="H610" s="51" t="n"/>
    </row>
    <row r="611">
      <c r="B611" s="299" t="n"/>
      <c r="D611" s="53" t="n"/>
      <c r="F611" s="299" t="n"/>
      <c r="G611" s="299" t="n"/>
      <c r="H611" s="51" t="n"/>
    </row>
    <row r="612">
      <c r="B612" s="299" t="n"/>
      <c r="D612" s="53" t="n"/>
      <c r="F612" s="299" t="n"/>
      <c r="G612" s="299" t="n"/>
      <c r="H612" s="51" t="n"/>
    </row>
    <row r="613">
      <c r="B613" s="299" t="n"/>
      <c r="D613" s="53" t="n"/>
      <c r="F613" s="299" t="n"/>
      <c r="G613" s="299" t="n"/>
      <c r="H613" s="51" t="n"/>
    </row>
    <row r="614">
      <c r="B614" s="299" t="n"/>
      <c r="D614" s="53" t="n"/>
      <c r="F614" s="299" t="n"/>
      <c r="G614" s="299" t="n"/>
      <c r="H614" s="51" t="n"/>
    </row>
    <row r="615">
      <c r="B615" s="299" t="n"/>
      <c r="D615" s="53" t="n"/>
      <c r="F615" s="299" t="n"/>
      <c r="G615" s="299" t="n"/>
      <c r="H615" s="51" t="n"/>
    </row>
    <row r="616">
      <c r="B616" s="299" t="n"/>
      <c r="D616" s="53" t="n"/>
      <c r="F616" s="299" t="n"/>
      <c r="G616" s="299" t="n"/>
      <c r="H616" s="51" t="n"/>
    </row>
    <row r="617">
      <c r="B617" s="299" t="n"/>
      <c r="D617" s="53" t="n"/>
      <c r="F617" s="299" t="n"/>
      <c r="G617" s="299" t="n"/>
      <c r="H617" s="51" t="n"/>
    </row>
    <row r="618">
      <c r="B618" s="299" t="n"/>
      <c r="D618" s="53" t="n"/>
      <c r="F618" s="299" t="n"/>
      <c r="G618" s="299" t="n"/>
      <c r="H618" s="51" t="n"/>
    </row>
    <row r="619">
      <c r="B619" s="299" t="n"/>
      <c r="D619" s="53" t="n"/>
      <c r="F619" s="299" t="n"/>
      <c r="G619" s="299" t="n"/>
      <c r="H619" s="51" t="n"/>
    </row>
    <row r="620">
      <c r="B620" s="299" t="n"/>
      <c r="D620" s="53" t="n"/>
      <c r="F620" s="299" t="n"/>
      <c r="G620" s="299" t="n"/>
      <c r="H620" s="51" t="n"/>
    </row>
    <row r="621">
      <c r="B621" s="299" t="n"/>
      <c r="D621" s="53" t="n"/>
      <c r="F621" s="299" t="n"/>
      <c r="G621" s="299" t="n"/>
      <c r="H621" s="51" t="n"/>
    </row>
    <row r="622">
      <c r="B622" s="299" t="n"/>
      <c r="D622" s="53" t="n"/>
      <c r="F622" s="299" t="n"/>
      <c r="G622" s="299" t="n"/>
      <c r="H622" s="51" t="n"/>
    </row>
    <row r="623">
      <c r="B623" s="299" t="n"/>
      <c r="D623" s="53" t="n"/>
      <c r="F623" s="299" t="n"/>
      <c r="G623" s="299" t="n"/>
      <c r="H623" s="51" t="n"/>
    </row>
    <row r="624">
      <c r="B624" s="299" t="n"/>
      <c r="D624" s="53" t="n"/>
      <c r="F624" s="299" t="n"/>
      <c r="G624" s="299" t="n"/>
      <c r="H624" s="51" t="n"/>
    </row>
    <row r="625">
      <c r="B625" s="299" t="n"/>
      <c r="D625" s="53" t="n"/>
      <c r="F625" s="299" t="n"/>
      <c r="G625" s="299" t="n"/>
      <c r="H625" s="51" t="n"/>
    </row>
    <row r="626">
      <c r="B626" s="299" t="n"/>
      <c r="D626" s="53" t="n"/>
      <c r="F626" s="299" t="n"/>
      <c r="G626" s="299" t="n"/>
      <c r="H626" s="51" t="n"/>
    </row>
    <row r="627">
      <c r="B627" s="299" t="n"/>
      <c r="D627" s="53" t="n"/>
      <c r="F627" s="299" t="n"/>
      <c r="G627" s="299" t="n"/>
      <c r="H627" s="51" t="n"/>
    </row>
    <row r="628">
      <c r="B628" s="299" t="n"/>
      <c r="D628" s="53" t="n"/>
      <c r="F628" s="299" t="n"/>
      <c r="G628" s="299" t="n"/>
      <c r="H628" s="51" t="n"/>
    </row>
    <row r="629">
      <c r="B629" s="299" t="n"/>
      <c r="D629" s="53" t="n"/>
      <c r="F629" s="299" t="n"/>
      <c r="G629" s="299" t="n"/>
      <c r="H629" s="51" t="n"/>
    </row>
    <row r="630">
      <c r="B630" s="299" t="n"/>
      <c r="D630" s="53" t="n"/>
      <c r="F630" s="299" t="n"/>
      <c r="G630" s="299" t="n"/>
      <c r="H630" s="51" t="n"/>
    </row>
    <row r="631">
      <c r="B631" s="299" t="n"/>
      <c r="D631" s="53" t="n"/>
      <c r="F631" s="299" t="n"/>
      <c r="G631" s="299" t="n"/>
      <c r="H631" s="51" t="n"/>
    </row>
    <row r="632">
      <c r="B632" s="299" t="n"/>
      <c r="D632" s="53" t="n"/>
      <c r="F632" s="299" t="n"/>
      <c r="G632" s="299" t="n"/>
      <c r="H632" s="51" t="n"/>
    </row>
    <row r="633">
      <c r="B633" s="299" t="n"/>
      <c r="D633" s="53" t="n"/>
      <c r="F633" s="299" t="n"/>
      <c r="G633" s="299" t="n"/>
      <c r="H633" s="51" t="n"/>
    </row>
    <row r="634">
      <c r="B634" s="299" t="n"/>
      <c r="D634" s="53" t="n"/>
      <c r="F634" s="299" t="n"/>
      <c r="G634" s="299" t="n"/>
      <c r="H634" s="51" t="n"/>
    </row>
    <row r="635">
      <c r="B635" s="299" t="n"/>
      <c r="D635" s="53" t="n"/>
      <c r="F635" s="299" t="n"/>
      <c r="G635" s="299" t="n"/>
      <c r="H635" s="51" t="n"/>
    </row>
    <row r="636">
      <c r="B636" s="299" t="n"/>
      <c r="D636" s="53" t="n"/>
      <c r="F636" s="299" t="n"/>
      <c r="G636" s="299" t="n"/>
      <c r="H636" s="51" t="n"/>
    </row>
    <row r="637">
      <c r="B637" s="299" t="n"/>
      <c r="D637" s="53" t="n"/>
      <c r="F637" s="299" t="n"/>
      <c r="G637" s="299" t="n"/>
      <c r="H637" s="51" t="n"/>
    </row>
    <row r="638">
      <c r="B638" s="299" t="n"/>
      <c r="D638" s="53" t="n"/>
      <c r="F638" s="299" t="n"/>
      <c r="G638" s="299" t="n"/>
      <c r="H638" s="51" t="n"/>
    </row>
    <row r="639">
      <c r="B639" s="299" t="n"/>
      <c r="D639" s="53" t="n"/>
      <c r="F639" s="299" t="n"/>
      <c r="G639" s="299" t="n"/>
      <c r="H639" s="51" t="n"/>
    </row>
    <row r="640">
      <c r="B640" s="299" t="n"/>
      <c r="D640" s="53" t="n"/>
      <c r="F640" s="299" t="n"/>
      <c r="G640" s="299" t="n"/>
      <c r="H640" s="51" t="n"/>
    </row>
    <row r="641">
      <c r="B641" s="299" t="n"/>
      <c r="D641" s="53" t="n"/>
      <c r="F641" s="299" t="n"/>
      <c r="G641" s="299" t="n"/>
      <c r="H641" s="51" t="n"/>
    </row>
    <row r="642">
      <c r="B642" s="299" t="n"/>
      <c r="D642" s="53" t="n"/>
      <c r="F642" s="299" t="n"/>
      <c r="G642" s="299" t="n"/>
      <c r="H642" s="51" t="n"/>
    </row>
    <row r="643">
      <c r="B643" s="299" t="n"/>
      <c r="D643" s="53" t="n"/>
      <c r="F643" s="299" t="n"/>
      <c r="G643" s="299" t="n"/>
      <c r="H643" s="51" t="n"/>
    </row>
    <row r="644">
      <c r="B644" s="299" t="n"/>
      <c r="D644" s="53" t="n"/>
      <c r="F644" s="299" t="n"/>
      <c r="G644" s="299" t="n"/>
      <c r="H644" s="51" t="n"/>
    </row>
    <row r="645">
      <c r="B645" s="299" t="n"/>
      <c r="D645" s="53" t="n"/>
      <c r="F645" s="299" t="n"/>
      <c r="G645" s="299" t="n"/>
      <c r="H645" s="51" t="n"/>
    </row>
    <row r="646">
      <c r="B646" s="299" t="n"/>
      <c r="D646" s="53" t="n"/>
      <c r="F646" s="299" t="n"/>
      <c r="G646" s="299" t="n"/>
      <c r="H646" s="51" t="n"/>
    </row>
    <row r="647">
      <c r="B647" s="299" t="n"/>
      <c r="D647" s="53" t="n"/>
      <c r="F647" s="299" t="n"/>
      <c r="G647" s="299" t="n"/>
      <c r="H647" s="51" t="n"/>
    </row>
    <row r="648">
      <c r="B648" s="299" t="n"/>
      <c r="D648" s="53" t="n"/>
      <c r="F648" s="299" t="n"/>
      <c r="G648" s="299" t="n"/>
      <c r="H648" s="51" t="n"/>
    </row>
    <row r="649">
      <c r="B649" s="299" t="n"/>
      <c r="D649" s="53" t="n"/>
      <c r="F649" s="299" t="n"/>
      <c r="G649" s="299" t="n"/>
      <c r="H649" s="51" t="n"/>
    </row>
    <row r="650">
      <c r="B650" s="299" t="n"/>
      <c r="D650" s="53" t="n"/>
      <c r="F650" s="299" t="n"/>
      <c r="G650" s="299" t="n"/>
      <c r="H650" s="51" t="n"/>
    </row>
    <row r="651">
      <c r="B651" s="299" t="n"/>
      <c r="D651" s="53" t="n"/>
      <c r="F651" s="299" t="n"/>
      <c r="G651" s="299" t="n"/>
      <c r="H651" s="51" t="n"/>
    </row>
    <row r="652">
      <c r="B652" s="299" t="n"/>
      <c r="D652" s="53" t="n"/>
      <c r="F652" s="299" t="n"/>
      <c r="G652" s="299" t="n"/>
      <c r="H652" s="51" t="n"/>
    </row>
    <row r="653">
      <c r="B653" s="299" t="n"/>
      <c r="D653" s="53" t="n"/>
      <c r="F653" s="299" t="n"/>
      <c r="G653" s="299" t="n"/>
      <c r="H653" s="51" t="n"/>
    </row>
    <row r="654">
      <c r="B654" s="299" t="n"/>
      <c r="D654" s="53" t="n"/>
      <c r="F654" s="299" t="n"/>
      <c r="G654" s="299" t="n"/>
      <c r="H654" s="51" t="n"/>
    </row>
    <row r="655">
      <c r="B655" s="299" t="n"/>
      <c r="D655" s="53" t="n"/>
      <c r="F655" s="299" t="n"/>
      <c r="G655" s="299" t="n"/>
      <c r="H655" s="51" t="n"/>
    </row>
    <row r="656">
      <c r="B656" s="299" t="n"/>
      <c r="D656" s="53" t="n"/>
      <c r="F656" s="299" t="n"/>
      <c r="G656" s="299" t="n"/>
      <c r="H656" s="51" t="n"/>
    </row>
    <row r="657">
      <c r="B657" s="299" t="n"/>
      <c r="D657" s="53" t="n"/>
      <c r="F657" s="299" t="n"/>
      <c r="G657" s="299" t="n"/>
      <c r="H657" s="51" t="n"/>
    </row>
    <row r="658">
      <c r="B658" s="299" t="n"/>
      <c r="D658" s="53" t="n"/>
      <c r="F658" s="299" t="n"/>
      <c r="G658" s="299" t="n"/>
      <c r="H658" s="51" t="n"/>
    </row>
    <row r="659">
      <c r="B659" s="299" t="n"/>
      <c r="D659" s="53" t="n"/>
      <c r="F659" s="299" t="n"/>
      <c r="G659" s="299" t="n"/>
      <c r="H659" s="51" t="n"/>
    </row>
    <row r="660">
      <c r="B660" s="299" t="n"/>
      <c r="D660" s="53" t="n"/>
      <c r="F660" s="299" t="n"/>
      <c r="G660" s="299" t="n"/>
      <c r="H660" s="51" t="n"/>
    </row>
    <row r="661">
      <c r="B661" s="299" t="n"/>
      <c r="D661" s="53" t="n"/>
      <c r="F661" s="299" t="n"/>
      <c r="G661" s="299" t="n"/>
      <c r="H661" s="51" t="n"/>
    </row>
    <row r="662">
      <c r="B662" s="299" t="n"/>
      <c r="D662" s="53" t="n"/>
      <c r="F662" s="299" t="n"/>
      <c r="G662" s="299" t="n"/>
      <c r="H662" s="51" t="n"/>
    </row>
    <row r="663">
      <c r="B663" s="299" t="n"/>
      <c r="D663" s="53" t="n"/>
      <c r="F663" s="299" t="n"/>
      <c r="G663" s="299" t="n"/>
      <c r="H663" s="51" t="n"/>
    </row>
    <row r="664">
      <c r="B664" s="299" t="n"/>
      <c r="D664" s="53" t="n"/>
      <c r="F664" s="299" t="n"/>
      <c r="G664" s="299" t="n"/>
      <c r="H664" s="51" t="n"/>
    </row>
    <row r="665">
      <c r="B665" s="299" t="n"/>
      <c r="D665" s="53" t="n"/>
      <c r="F665" s="299" t="n"/>
      <c r="G665" s="299" t="n"/>
      <c r="H665" s="51" t="n"/>
    </row>
    <row r="666">
      <c r="B666" s="299" t="n"/>
      <c r="D666" s="53" t="n"/>
      <c r="F666" s="299" t="n"/>
      <c r="G666" s="299" t="n"/>
      <c r="H666" s="51" t="n"/>
    </row>
    <row r="667">
      <c r="B667" s="299" t="n"/>
      <c r="D667" s="53" t="n"/>
      <c r="F667" s="299" t="n"/>
      <c r="G667" s="299" t="n"/>
      <c r="H667" s="51" t="n"/>
    </row>
    <row r="668">
      <c r="B668" s="299" t="n"/>
      <c r="D668" s="53" t="n"/>
      <c r="F668" s="299" t="n"/>
      <c r="G668" s="299" t="n"/>
      <c r="H668" s="51" t="n"/>
    </row>
    <row r="669">
      <c r="B669" s="299" t="n"/>
      <c r="D669" s="53" t="n"/>
      <c r="F669" s="299" t="n"/>
      <c r="G669" s="299" t="n"/>
      <c r="H669" s="51" t="n"/>
    </row>
    <row r="670">
      <c r="B670" s="299" t="n"/>
      <c r="D670" s="53" t="n"/>
      <c r="F670" s="299" t="n"/>
      <c r="G670" s="299" t="n"/>
      <c r="H670" s="51" t="n"/>
    </row>
    <row r="671">
      <c r="B671" s="299" t="n"/>
      <c r="D671" s="53" t="n"/>
      <c r="F671" s="299" t="n"/>
      <c r="G671" s="299" t="n"/>
      <c r="H671" s="51" t="n"/>
    </row>
    <row r="672">
      <c r="B672" s="299" t="n"/>
      <c r="D672" s="53" t="n"/>
      <c r="F672" s="299" t="n"/>
      <c r="G672" s="299" t="n"/>
      <c r="H672" s="51" t="n"/>
    </row>
    <row r="673">
      <c r="B673" s="299" t="n"/>
      <c r="D673" s="53" t="n"/>
      <c r="F673" s="299" t="n"/>
      <c r="G673" s="299" t="n"/>
      <c r="H673" s="51" t="n"/>
    </row>
    <row r="674">
      <c r="B674" s="299" t="n"/>
      <c r="D674" s="53" t="n"/>
      <c r="F674" s="299" t="n"/>
      <c r="G674" s="299" t="n"/>
      <c r="H674" s="51" t="n"/>
    </row>
    <row r="675">
      <c r="B675" s="299" t="n"/>
      <c r="D675" s="53" t="n"/>
      <c r="F675" s="299" t="n"/>
      <c r="G675" s="299" t="n"/>
      <c r="H675" s="51" t="n"/>
    </row>
    <row r="676">
      <c r="B676" s="299" t="n"/>
      <c r="D676" s="53" t="n"/>
      <c r="F676" s="299" t="n"/>
      <c r="G676" s="299" t="n"/>
      <c r="H676" s="51" t="n"/>
    </row>
    <row r="677">
      <c r="B677" s="299" t="n"/>
      <c r="D677" s="53" t="n"/>
      <c r="F677" s="299" t="n"/>
      <c r="G677" s="299" t="n"/>
      <c r="H677" s="51" t="n"/>
    </row>
    <row r="678">
      <c r="B678" s="299" t="n"/>
      <c r="D678" s="53" t="n"/>
      <c r="F678" s="299" t="n"/>
      <c r="G678" s="299" t="n"/>
      <c r="H678" s="51" t="n"/>
    </row>
    <row r="679">
      <c r="B679" s="299" t="n"/>
      <c r="D679" s="53" t="n"/>
      <c r="F679" s="299" t="n"/>
      <c r="G679" s="299" t="n"/>
      <c r="H679" s="51" t="n"/>
    </row>
    <row r="680">
      <c r="B680" s="299" t="n"/>
      <c r="D680" s="53" t="n"/>
      <c r="F680" s="299" t="n"/>
      <c r="G680" s="299" t="n"/>
      <c r="H680" s="51" t="n"/>
    </row>
    <row r="681">
      <c r="B681" s="299" t="n"/>
      <c r="D681" s="53" t="n"/>
      <c r="F681" s="299" t="n"/>
      <c r="G681" s="299" t="n"/>
      <c r="H681" s="51" t="n"/>
    </row>
    <row r="682">
      <c r="B682" s="299" t="n"/>
      <c r="D682" s="53" t="n"/>
      <c r="F682" s="299" t="n"/>
      <c r="G682" s="299" t="n"/>
      <c r="H682" s="51" t="n"/>
    </row>
    <row r="683">
      <c r="B683" s="299" t="n"/>
      <c r="D683" s="53" t="n"/>
      <c r="F683" s="299" t="n"/>
      <c r="G683" s="299" t="n"/>
      <c r="H683" s="51" t="n"/>
    </row>
    <row r="684">
      <c r="B684" s="299" t="n"/>
      <c r="D684" s="53" t="n"/>
      <c r="F684" s="299" t="n"/>
      <c r="G684" s="299" t="n"/>
      <c r="H684" s="51" t="n"/>
    </row>
    <row r="685">
      <c r="B685" s="299" t="n"/>
      <c r="D685" s="53" t="n"/>
      <c r="F685" s="299" t="n"/>
      <c r="G685" s="299" t="n"/>
      <c r="H685" s="51" t="n"/>
    </row>
    <row r="686">
      <c r="B686" s="299" t="n"/>
      <c r="D686" s="53" t="n"/>
      <c r="F686" s="299" t="n"/>
      <c r="G686" s="299" t="n"/>
      <c r="H686" s="51" t="n"/>
    </row>
    <row r="687">
      <c r="B687" s="299" t="n"/>
      <c r="D687" s="53" t="n"/>
      <c r="F687" s="299" t="n"/>
      <c r="G687" s="299" t="n"/>
      <c r="H687" s="51" t="n"/>
    </row>
    <row r="688">
      <c r="B688" s="299" t="n"/>
      <c r="D688" s="53" t="n"/>
      <c r="F688" s="299" t="n"/>
      <c r="G688" s="299" t="n"/>
      <c r="H688" s="51" t="n"/>
    </row>
    <row r="689">
      <c r="B689" s="299" t="n"/>
      <c r="D689" s="53" t="n"/>
      <c r="F689" s="299" t="n"/>
      <c r="G689" s="299" t="n"/>
      <c r="H689" s="51" t="n"/>
    </row>
    <row r="690">
      <c r="B690" s="299" t="n"/>
      <c r="D690" s="53" t="n"/>
      <c r="F690" s="299" t="n"/>
      <c r="G690" s="299" t="n"/>
      <c r="H690" s="51" t="n"/>
    </row>
    <row r="691">
      <c r="B691" s="299" t="n"/>
      <c r="D691" s="53" t="n"/>
      <c r="F691" s="299" t="n"/>
      <c r="G691" s="299" t="n"/>
      <c r="H691" s="51" t="n"/>
    </row>
    <row r="692">
      <c r="B692" s="299" t="n"/>
      <c r="D692" s="53" t="n"/>
      <c r="F692" s="299" t="n"/>
      <c r="G692" s="299" t="n"/>
      <c r="H692" s="51" t="n"/>
    </row>
    <row r="693">
      <c r="B693" s="299" t="n"/>
      <c r="D693" s="53" t="n"/>
      <c r="F693" s="299" t="n"/>
      <c r="G693" s="299" t="n"/>
      <c r="H693" s="51" t="n"/>
    </row>
    <row r="694">
      <c r="B694" s="299" t="n"/>
      <c r="D694" s="53" t="n"/>
      <c r="F694" s="299" t="n"/>
      <c r="G694" s="299" t="n"/>
      <c r="H694" s="51" t="n"/>
    </row>
    <row r="695">
      <c r="B695" s="299" t="n"/>
      <c r="D695" s="53" t="n"/>
      <c r="F695" s="299" t="n"/>
      <c r="G695" s="299" t="n"/>
      <c r="H695" s="51" t="n"/>
    </row>
    <row r="696">
      <c r="B696" s="299" t="n"/>
      <c r="D696" s="53" t="n"/>
      <c r="F696" s="299" t="n"/>
      <c r="G696" s="299" t="n"/>
      <c r="H696" s="51" t="n"/>
    </row>
    <row r="697">
      <c r="B697" s="299" t="n"/>
      <c r="D697" s="53" t="n"/>
      <c r="F697" s="299" t="n"/>
      <c r="G697" s="299" t="n"/>
      <c r="H697" s="51" t="n"/>
    </row>
    <row r="698">
      <c r="B698" s="299" t="n"/>
      <c r="D698" s="53" t="n"/>
      <c r="F698" s="299" t="n"/>
      <c r="G698" s="299" t="n"/>
      <c r="H698" s="51" t="n"/>
    </row>
    <row r="699">
      <c r="B699" s="299" t="n"/>
      <c r="D699" s="53" t="n"/>
      <c r="F699" s="299" t="n"/>
      <c r="G699" s="299" t="n"/>
      <c r="H699" s="51" t="n"/>
    </row>
    <row r="700">
      <c r="B700" s="299" t="n"/>
      <c r="D700" s="53" t="n"/>
      <c r="F700" s="299" t="n"/>
      <c r="G700" s="299" t="n"/>
      <c r="H700" s="51" t="n"/>
    </row>
    <row r="701">
      <c r="B701" s="299" t="n"/>
      <c r="D701" s="53" t="n"/>
      <c r="F701" s="299" t="n"/>
      <c r="G701" s="299" t="n"/>
      <c r="H701" s="51" t="n"/>
    </row>
    <row r="702">
      <c r="B702" s="299" t="n"/>
      <c r="D702" s="53" t="n"/>
      <c r="F702" s="299" t="n"/>
      <c r="G702" s="299" t="n"/>
      <c r="H702" s="51" t="n"/>
    </row>
    <row r="703">
      <c r="B703" s="299" t="n"/>
      <c r="D703" s="53" t="n"/>
      <c r="F703" s="299" t="n"/>
      <c r="G703" s="299" t="n"/>
      <c r="H703" s="51" t="n"/>
    </row>
    <row r="704">
      <c r="B704" s="299" t="n"/>
      <c r="D704" s="53" t="n"/>
      <c r="F704" s="299" t="n"/>
      <c r="G704" s="299" t="n"/>
      <c r="H704" s="51" t="n"/>
    </row>
    <row r="705">
      <c r="B705" s="299" t="n"/>
      <c r="D705" s="53" t="n"/>
      <c r="F705" s="299" t="n"/>
      <c r="G705" s="299" t="n"/>
      <c r="H705" s="51" t="n"/>
    </row>
    <row r="706">
      <c r="B706" s="299" t="n"/>
      <c r="D706" s="53" t="n"/>
      <c r="F706" s="299" t="n"/>
      <c r="G706" s="299" t="n"/>
      <c r="H706" s="51" t="n"/>
    </row>
    <row r="707">
      <c r="B707" s="299" t="n"/>
      <c r="D707" s="53" t="n"/>
      <c r="F707" s="299" t="n"/>
      <c r="G707" s="299" t="n"/>
      <c r="H707" s="51" t="n"/>
    </row>
    <row r="708">
      <c r="B708" s="299" t="n"/>
      <c r="D708" s="53" t="n"/>
      <c r="F708" s="299" t="n"/>
      <c r="G708" s="299" t="n"/>
      <c r="H708" s="51" t="n"/>
    </row>
    <row r="709">
      <c r="B709" s="299" t="n"/>
      <c r="D709" s="53" t="n"/>
      <c r="F709" s="299" t="n"/>
      <c r="G709" s="299" t="n"/>
      <c r="H709" s="51" t="n"/>
    </row>
    <row r="710">
      <c r="B710" s="299" t="n"/>
      <c r="D710" s="53" t="n"/>
      <c r="F710" s="299" t="n"/>
      <c r="G710" s="299" t="n"/>
      <c r="H710" s="51" t="n"/>
    </row>
    <row r="711">
      <c r="B711" s="299" t="n"/>
      <c r="D711" s="53" t="n"/>
      <c r="F711" s="299" t="n"/>
      <c r="G711" s="299" t="n"/>
      <c r="H711" s="51" t="n"/>
    </row>
    <row r="712">
      <c r="B712" s="299" t="n"/>
      <c r="D712" s="53" t="n"/>
      <c r="F712" s="299" t="n"/>
      <c r="G712" s="299" t="n"/>
      <c r="H712" s="51" t="n"/>
    </row>
    <row r="713">
      <c r="B713" s="299" t="n"/>
      <c r="D713" s="53" t="n"/>
      <c r="F713" s="299" t="n"/>
      <c r="G713" s="299" t="n"/>
      <c r="H713" s="51" t="n"/>
    </row>
    <row r="714">
      <c r="B714" s="299" t="n"/>
      <c r="D714" s="53" t="n"/>
      <c r="F714" s="299" t="n"/>
      <c r="G714" s="299" t="n"/>
      <c r="H714" s="51" t="n"/>
    </row>
    <row r="715">
      <c r="B715" s="299" t="n"/>
      <c r="D715" s="53" t="n"/>
      <c r="F715" s="299" t="n"/>
      <c r="G715" s="299" t="n"/>
      <c r="H715" s="51" t="n"/>
    </row>
    <row r="716">
      <c r="B716" s="299" t="n"/>
      <c r="D716" s="53" t="n"/>
      <c r="F716" s="299" t="n"/>
      <c r="G716" s="299" t="n"/>
      <c r="H716" s="51" t="n"/>
    </row>
    <row r="717">
      <c r="B717" s="299" t="n"/>
      <c r="D717" s="53" t="n"/>
      <c r="F717" s="299" t="n"/>
      <c r="G717" s="299" t="n"/>
      <c r="H717" s="51" t="n"/>
    </row>
    <row r="718">
      <c r="B718" s="299" t="n"/>
      <c r="D718" s="53" t="n"/>
      <c r="F718" s="299" t="n"/>
      <c r="G718" s="299" t="n"/>
      <c r="H718" s="51" t="n"/>
    </row>
    <row r="719">
      <c r="B719" s="299" t="n"/>
      <c r="D719" s="53" t="n"/>
      <c r="F719" s="299" t="n"/>
      <c r="G719" s="299" t="n"/>
      <c r="H719" s="51" t="n"/>
    </row>
    <row r="720">
      <c r="B720" s="299" t="n"/>
      <c r="D720" s="53" t="n"/>
      <c r="F720" s="299" t="n"/>
      <c r="G720" s="299" t="n"/>
      <c r="H720" s="51" t="n"/>
    </row>
    <row r="721">
      <c r="B721" s="299" t="n"/>
      <c r="D721" s="53" t="n"/>
      <c r="F721" s="299" t="n"/>
      <c r="G721" s="299" t="n"/>
      <c r="H721" s="51" t="n"/>
    </row>
    <row r="722">
      <c r="B722" s="299" t="n"/>
      <c r="D722" s="53" t="n"/>
      <c r="F722" s="299" t="n"/>
      <c r="G722" s="299" t="n"/>
      <c r="H722" s="51" t="n"/>
    </row>
    <row r="723">
      <c r="B723" s="299" t="n"/>
      <c r="D723" s="53" t="n"/>
      <c r="F723" s="299" t="n"/>
      <c r="G723" s="299" t="n"/>
      <c r="H723" s="51" t="n"/>
    </row>
    <row r="724">
      <c r="B724" s="299" t="n"/>
      <c r="D724" s="53" t="n"/>
      <c r="F724" s="299" t="n"/>
      <c r="G724" s="299" t="n"/>
      <c r="H724" s="51" t="n"/>
    </row>
    <row r="725">
      <c r="B725" s="299" t="n"/>
      <c r="D725" s="53" t="n"/>
      <c r="F725" s="299" t="n"/>
      <c r="G725" s="299" t="n"/>
      <c r="H725" s="51" t="n"/>
    </row>
    <row r="726">
      <c r="B726" s="299" t="n"/>
      <c r="D726" s="53" t="n"/>
      <c r="F726" s="299" t="n"/>
      <c r="G726" s="299" t="n"/>
      <c r="H726" s="51" t="n"/>
    </row>
    <row r="727">
      <c r="B727" s="299" t="n"/>
      <c r="D727" s="53" t="n"/>
      <c r="F727" s="299" t="n"/>
      <c r="G727" s="299" t="n"/>
      <c r="H727" s="51" t="n"/>
    </row>
    <row r="728">
      <c r="B728" s="299" t="n"/>
      <c r="D728" s="53" t="n"/>
      <c r="F728" s="299" t="n"/>
      <c r="G728" s="299" t="n"/>
      <c r="H728" s="51" t="n"/>
    </row>
    <row r="729">
      <c r="B729" s="299" t="n"/>
      <c r="D729" s="53" t="n"/>
      <c r="F729" s="299" t="n"/>
      <c r="G729" s="299" t="n"/>
      <c r="H729" s="51" t="n"/>
    </row>
    <row r="730">
      <c r="B730" s="299" t="n"/>
      <c r="D730" s="53" t="n"/>
      <c r="F730" s="299" t="n"/>
      <c r="G730" s="299" t="n"/>
      <c r="H730" s="51" t="n"/>
    </row>
    <row r="731">
      <c r="B731" s="299" t="n"/>
      <c r="D731" s="53" t="n"/>
      <c r="F731" s="299" t="n"/>
      <c r="G731" s="299" t="n"/>
      <c r="H731" s="51" t="n"/>
    </row>
    <row r="732">
      <c r="B732" s="299" t="n"/>
      <c r="D732" s="53" t="n"/>
      <c r="F732" s="299" t="n"/>
      <c r="G732" s="299" t="n"/>
      <c r="H732" s="51" t="n"/>
    </row>
    <row r="733">
      <c r="B733" s="299" t="n"/>
      <c r="D733" s="53" t="n"/>
      <c r="F733" s="299" t="n"/>
      <c r="G733" s="299" t="n"/>
      <c r="H733" s="51" t="n"/>
    </row>
    <row r="734">
      <c r="B734" s="299" t="n"/>
      <c r="D734" s="53" t="n"/>
      <c r="F734" s="299" t="n"/>
      <c r="G734" s="299" t="n"/>
      <c r="H734" s="51" t="n"/>
    </row>
    <row r="735">
      <c r="B735" s="299" t="n"/>
      <c r="D735" s="53" t="n"/>
      <c r="F735" s="299" t="n"/>
      <c r="G735" s="299" t="n"/>
      <c r="H735" s="51" t="n"/>
    </row>
    <row r="736">
      <c r="B736" s="299" t="n"/>
      <c r="D736" s="53" t="n"/>
      <c r="F736" s="299" t="n"/>
      <c r="G736" s="299" t="n"/>
      <c r="H736" s="51" t="n"/>
    </row>
    <row r="737">
      <c r="B737" s="299" t="n"/>
      <c r="D737" s="53" t="n"/>
      <c r="F737" s="299" t="n"/>
      <c r="G737" s="299" t="n"/>
      <c r="H737" s="51" t="n"/>
    </row>
    <row r="738">
      <c r="B738" s="299" t="n"/>
      <c r="D738" s="53" t="n"/>
      <c r="F738" s="299" t="n"/>
      <c r="G738" s="299" t="n"/>
      <c r="H738" s="51" t="n"/>
    </row>
    <row r="739">
      <c r="B739" s="299" t="n"/>
      <c r="D739" s="53" t="n"/>
      <c r="F739" s="299" t="n"/>
      <c r="G739" s="299" t="n"/>
      <c r="H739" s="51" t="n"/>
    </row>
    <row r="740">
      <c r="B740" s="299" t="n"/>
      <c r="D740" s="53" t="n"/>
      <c r="F740" s="299" t="n"/>
      <c r="G740" s="299" t="n"/>
      <c r="H740" s="51" t="n"/>
    </row>
    <row r="741">
      <c r="B741" s="299" t="n"/>
      <c r="D741" s="53" t="n"/>
      <c r="F741" s="299" t="n"/>
      <c r="G741" s="299" t="n"/>
      <c r="H741" s="51" t="n"/>
    </row>
    <row r="742">
      <c r="B742" s="299" t="n"/>
      <c r="D742" s="53" t="n"/>
      <c r="F742" s="299" t="n"/>
      <c r="G742" s="299" t="n"/>
      <c r="H742" s="51" t="n"/>
    </row>
    <row r="743">
      <c r="B743" s="299" t="n"/>
      <c r="D743" s="53" t="n"/>
      <c r="F743" s="299" t="n"/>
      <c r="G743" s="299" t="n"/>
      <c r="H743" s="51" t="n"/>
    </row>
    <row r="744">
      <c r="B744" s="299" t="n"/>
      <c r="D744" s="53" t="n"/>
      <c r="F744" s="299" t="n"/>
      <c r="G744" s="299" t="n"/>
      <c r="H744" s="51" t="n"/>
    </row>
    <row r="745">
      <c r="B745" s="299" t="n"/>
      <c r="D745" s="53" t="n"/>
      <c r="F745" s="299" t="n"/>
      <c r="G745" s="299" t="n"/>
      <c r="H745" s="51" t="n"/>
    </row>
    <row r="746">
      <c r="B746" s="299" t="n"/>
      <c r="D746" s="53" t="n"/>
      <c r="F746" s="299" t="n"/>
      <c r="G746" s="299" t="n"/>
      <c r="H746" s="51" t="n"/>
    </row>
    <row r="747">
      <c r="B747" s="299" t="n"/>
      <c r="D747" s="53" t="n"/>
      <c r="F747" s="299" t="n"/>
      <c r="G747" s="299" t="n"/>
      <c r="H747" s="51" t="n"/>
    </row>
    <row r="748">
      <c r="B748" s="299" t="n"/>
      <c r="D748" s="53" t="n"/>
      <c r="F748" s="299" t="n"/>
      <c r="G748" s="299" t="n"/>
      <c r="H748" s="51" t="n"/>
    </row>
    <row r="749">
      <c r="B749" s="299" t="n"/>
      <c r="D749" s="53" t="n"/>
      <c r="F749" s="299" t="n"/>
      <c r="G749" s="299" t="n"/>
      <c r="H749" s="51" t="n"/>
    </row>
    <row r="750">
      <c r="B750" s="299" t="n"/>
      <c r="D750" s="53" t="n"/>
      <c r="F750" s="299" t="n"/>
      <c r="G750" s="299" t="n"/>
      <c r="H750" s="51" t="n"/>
    </row>
    <row r="751">
      <c r="B751" s="299" t="n"/>
      <c r="D751" s="53" t="n"/>
      <c r="F751" s="299" t="n"/>
      <c r="G751" s="299" t="n"/>
      <c r="H751" s="51" t="n"/>
    </row>
    <row r="752">
      <c r="B752" s="299" t="n"/>
      <c r="D752" s="53" t="n"/>
      <c r="F752" s="299" t="n"/>
      <c r="G752" s="299" t="n"/>
      <c r="H752" s="51" t="n"/>
    </row>
    <row r="753">
      <c r="B753" s="299" t="n"/>
      <c r="D753" s="53" t="n"/>
      <c r="F753" s="299" t="n"/>
      <c r="G753" s="299" t="n"/>
      <c r="H753" s="51" t="n"/>
    </row>
    <row r="754">
      <c r="B754" s="299" t="n"/>
      <c r="D754" s="53" t="n"/>
      <c r="F754" s="299" t="n"/>
      <c r="G754" s="299" t="n"/>
      <c r="H754" s="51" t="n"/>
    </row>
    <row r="755">
      <c r="B755" s="299" t="n"/>
      <c r="D755" s="53" t="n"/>
      <c r="F755" s="299" t="n"/>
      <c r="G755" s="299" t="n"/>
      <c r="H755" s="51" t="n"/>
    </row>
    <row r="756">
      <c r="B756" s="299" t="n"/>
      <c r="D756" s="53" t="n"/>
      <c r="F756" s="299" t="n"/>
      <c r="G756" s="299" t="n"/>
      <c r="H756" s="51" t="n"/>
    </row>
    <row r="757">
      <c r="B757" s="299" t="n"/>
      <c r="D757" s="53" t="n"/>
      <c r="F757" s="299" t="n"/>
      <c r="G757" s="299" t="n"/>
      <c r="H757" s="51" t="n"/>
    </row>
    <row r="758">
      <c r="B758" s="299" t="n"/>
      <c r="D758" s="53" t="n"/>
      <c r="F758" s="299" t="n"/>
      <c r="G758" s="299" t="n"/>
      <c r="H758" s="51" t="n"/>
    </row>
    <row r="759">
      <c r="B759" s="299" t="n"/>
      <c r="D759" s="53" t="n"/>
      <c r="F759" s="299" t="n"/>
      <c r="G759" s="299" t="n"/>
      <c r="H759" s="51" t="n"/>
    </row>
    <row r="760">
      <c r="B760" s="299" t="n"/>
      <c r="D760" s="53" t="n"/>
      <c r="F760" s="299" t="n"/>
      <c r="G760" s="299" t="n"/>
      <c r="H760" s="51" t="n"/>
    </row>
    <row r="761">
      <c r="B761" s="299" t="n"/>
      <c r="D761" s="53" t="n"/>
      <c r="F761" s="299" t="n"/>
      <c r="G761" s="299" t="n"/>
      <c r="H761" s="51" t="n"/>
    </row>
    <row r="762">
      <c r="B762" s="299" t="n"/>
      <c r="D762" s="53" t="n"/>
      <c r="F762" s="299" t="n"/>
      <c r="G762" s="299" t="n"/>
      <c r="H762" s="51" t="n"/>
    </row>
    <row r="763">
      <c r="B763" s="299" t="n"/>
      <c r="D763" s="53" t="n"/>
      <c r="F763" s="299" t="n"/>
      <c r="G763" s="299" t="n"/>
      <c r="H763" s="51" t="n"/>
    </row>
    <row r="764">
      <c r="B764" s="299" t="n"/>
      <c r="D764" s="53" t="n"/>
      <c r="F764" s="299" t="n"/>
      <c r="G764" s="299" t="n"/>
      <c r="H764" s="51" t="n"/>
    </row>
    <row r="765">
      <c r="B765" s="299" t="n"/>
      <c r="D765" s="53" t="n"/>
      <c r="F765" s="299" t="n"/>
      <c r="G765" s="299" t="n"/>
      <c r="H765" s="51" t="n"/>
    </row>
    <row r="766">
      <c r="B766" s="299" t="n"/>
      <c r="D766" s="53" t="n"/>
      <c r="F766" s="299" t="n"/>
      <c r="G766" s="299" t="n"/>
      <c r="H766" s="51" t="n"/>
    </row>
    <row r="767">
      <c r="B767" s="299" t="n"/>
      <c r="D767" s="53" t="n"/>
      <c r="F767" s="299" t="n"/>
      <c r="G767" s="299" t="n"/>
      <c r="H767" s="51" t="n"/>
    </row>
    <row r="768">
      <c r="B768" s="299" t="n"/>
      <c r="D768" s="53" t="n"/>
      <c r="F768" s="299" t="n"/>
      <c r="G768" s="299" t="n"/>
      <c r="H768" s="51" t="n"/>
    </row>
    <row r="769">
      <c r="B769" s="299" t="n"/>
      <c r="D769" s="53" t="n"/>
      <c r="F769" s="299" t="n"/>
      <c r="G769" s="299" t="n"/>
      <c r="H769" s="51" t="n"/>
    </row>
    <row r="770">
      <c r="B770" s="299" t="n"/>
      <c r="D770" s="53" t="n"/>
      <c r="F770" s="299" t="n"/>
      <c r="G770" s="299" t="n"/>
      <c r="H770" s="51" t="n"/>
    </row>
    <row r="771">
      <c r="B771" s="299" t="n"/>
      <c r="D771" s="53" t="n"/>
      <c r="F771" s="299" t="n"/>
      <c r="G771" s="299" t="n"/>
      <c r="H771" s="51" t="n"/>
    </row>
    <row r="772">
      <c r="B772" s="299" t="n"/>
      <c r="D772" s="53" t="n"/>
      <c r="F772" s="299" t="n"/>
      <c r="G772" s="299" t="n"/>
      <c r="H772" s="51" t="n"/>
    </row>
    <row r="773">
      <c r="B773" s="299" t="n"/>
      <c r="D773" s="53" t="n"/>
      <c r="F773" s="299" t="n"/>
      <c r="G773" s="299" t="n"/>
      <c r="H773" s="51" t="n"/>
    </row>
    <row r="774">
      <c r="B774" s="299" t="n"/>
      <c r="D774" s="53" t="n"/>
      <c r="F774" s="299" t="n"/>
      <c r="G774" s="299" t="n"/>
      <c r="H774" s="51" t="n"/>
    </row>
    <row r="775">
      <c r="B775" s="299" t="n"/>
      <c r="D775" s="53" t="n"/>
      <c r="F775" s="299" t="n"/>
      <c r="G775" s="299" t="n"/>
      <c r="H775" s="51" t="n"/>
    </row>
    <row r="776">
      <c r="B776" s="299" t="n"/>
      <c r="D776" s="53" t="n"/>
      <c r="F776" s="299" t="n"/>
      <c r="G776" s="299" t="n"/>
      <c r="H776" s="51" t="n"/>
    </row>
    <row r="777">
      <c r="B777" s="299" t="n"/>
      <c r="D777" s="53" t="n"/>
      <c r="F777" s="299" t="n"/>
      <c r="G777" s="299" t="n"/>
      <c r="H777" s="51" t="n"/>
    </row>
    <row r="778">
      <c r="B778" s="299" t="n"/>
      <c r="D778" s="53" t="n"/>
      <c r="F778" s="299" t="n"/>
      <c r="G778" s="299" t="n"/>
      <c r="H778" s="51" t="n"/>
    </row>
    <row r="779">
      <c r="B779" s="299" t="n"/>
      <c r="D779" s="53" t="n"/>
      <c r="F779" s="299" t="n"/>
      <c r="G779" s="299" t="n"/>
      <c r="H779" s="51" t="n"/>
    </row>
    <row r="780">
      <c r="B780" s="299" t="n"/>
      <c r="D780" s="53" t="n"/>
      <c r="F780" s="299" t="n"/>
      <c r="G780" s="299" t="n"/>
      <c r="H780" s="51" t="n"/>
    </row>
    <row r="781">
      <c r="B781" s="299" t="n"/>
      <c r="D781" s="53" t="n"/>
      <c r="F781" s="299" t="n"/>
      <c r="G781" s="299" t="n"/>
      <c r="H781" s="51" t="n"/>
    </row>
    <row r="782">
      <c r="B782" s="299" t="n"/>
      <c r="D782" s="53" t="n"/>
      <c r="F782" s="299" t="n"/>
      <c r="G782" s="299" t="n"/>
      <c r="H782" s="51" t="n"/>
    </row>
    <row r="783">
      <c r="B783" s="299" t="n"/>
      <c r="D783" s="53" t="n"/>
      <c r="F783" s="299" t="n"/>
      <c r="G783" s="299" t="n"/>
      <c r="H783" s="51" t="n"/>
    </row>
    <row r="784">
      <c r="B784" s="299" t="n"/>
      <c r="D784" s="53" t="n"/>
      <c r="F784" s="299" t="n"/>
      <c r="G784" s="299" t="n"/>
      <c r="H784" s="51" t="n"/>
    </row>
    <row r="785">
      <c r="B785" s="299" t="n"/>
      <c r="D785" s="53" t="n"/>
      <c r="F785" s="299" t="n"/>
      <c r="G785" s="299" t="n"/>
      <c r="H785" s="51" t="n"/>
    </row>
    <row r="786">
      <c r="B786" s="299" t="n"/>
      <c r="D786" s="53" t="n"/>
      <c r="F786" s="299" t="n"/>
      <c r="G786" s="299" t="n"/>
      <c r="H786" s="51" t="n"/>
    </row>
    <row r="787">
      <c r="B787" s="299" t="n"/>
      <c r="D787" s="53" t="n"/>
      <c r="F787" s="299" t="n"/>
      <c r="G787" s="299" t="n"/>
      <c r="H787" s="51" t="n"/>
    </row>
    <row r="788">
      <c r="B788" s="299" t="n"/>
      <c r="D788" s="53" t="n"/>
      <c r="F788" s="299" t="n"/>
      <c r="G788" s="299" t="n"/>
      <c r="H788" s="51" t="n"/>
    </row>
    <row r="789">
      <c r="B789" s="299" t="n"/>
      <c r="D789" s="53" t="n"/>
      <c r="F789" s="299" t="n"/>
      <c r="G789" s="299" t="n"/>
      <c r="H789" s="51" t="n"/>
    </row>
    <row r="790">
      <c r="B790" s="299" t="n"/>
      <c r="D790" s="53" t="n"/>
      <c r="F790" s="299" t="n"/>
      <c r="G790" s="299" t="n"/>
      <c r="H790" s="51" t="n"/>
    </row>
    <row r="791">
      <c r="B791" s="299" t="n"/>
      <c r="D791" s="53" t="n"/>
      <c r="F791" s="299" t="n"/>
      <c r="G791" s="299" t="n"/>
      <c r="H791" s="51" t="n"/>
    </row>
    <row r="792">
      <c r="B792" s="299" t="n"/>
      <c r="D792" s="53" t="n"/>
      <c r="F792" s="299" t="n"/>
      <c r="G792" s="299" t="n"/>
      <c r="H792" s="51" t="n"/>
    </row>
    <row r="793">
      <c r="B793" s="299" t="n"/>
      <c r="D793" s="53" t="n"/>
      <c r="F793" s="299" t="n"/>
      <c r="G793" s="299" t="n"/>
      <c r="H793" s="51" t="n"/>
    </row>
    <row r="794">
      <c r="B794" s="299" t="n"/>
      <c r="D794" s="53" t="n"/>
      <c r="F794" s="299" t="n"/>
      <c r="G794" s="299" t="n"/>
      <c r="H794" s="51" t="n"/>
    </row>
    <row r="795">
      <c r="B795" s="299" t="n"/>
      <c r="D795" s="53" t="n"/>
      <c r="F795" s="299" t="n"/>
      <c r="G795" s="299" t="n"/>
      <c r="H795" s="51" t="n"/>
    </row>
    <row r="796">
      <c r="B796" s="299" t="n"/>
      <c r="D796" s="53" t="n"/>
      <c r="F796" s="299" t="n"/>
      <c r="G796" s="299" t="n"/>
      <c r="H796" s="51" t="n"/>
    </row>
    <row r="797">
      <c r="B797" s="299" t="n"/>
      <c r="D797" s="53" t="n"/>
      <c r="F797" s="299" t="n"/>
      <c r="G797" s="299" t="n"/>
      <c r="H797" s="51" t="n"/>
    </row>
    <row r="798">
      <c r="B798" s="299" t="n"/>
      <c r="D798" s="53" t="n"/>
      <c r="F798" s="299" t="n"/>
      <c r="G798" s="299" t="n"/>
      <c r="H798" s="51" t="n"/>
    </row>
    <row r="799">
      <c r="B799" s="299" t="n"/>
      <c r="D799" s="53" t="n"/>
      <c r="F799" s="299" t="n"/>
      <c r="G799" s="299" t="n"/>
      <c r="H799" s="51" t="n"/>
    </row>
    <row r="800">
      <c r="B800" s="299" t="n"/>
      <c r="D800" s="53" t="n"/>
      <c r="F800" s="299" t="n"/>
      <c r="G800" s="299" t="n"/>
      <c r="H800" s="51" t="n"/>
    </row>
    <row r="801">
      <c r="B801" s="299" t="n"/>
      <c r="D801" s="53" t="n"/>
      <c r="F801" s="299" t="n"/>
      <c r="G801" s="299" t="n"/>
      <c r="H801" s="51" t="n"/>
    </row>
    <row r="802">
      <c r="B802" s="299" t="n"/>
      <c r="D802" s="53" t="n"/>
      <c r="F802" s="299" t="n"/>
      <c r="G802" s="299" t="n"/>
      <c r="H802" s="51" t="n"/>
    </row>
    <row r="803">
      <c r="B803" s="299" t="n"/>
      <c r="D803" s="53" t="n"/>
      <c r="F803" s="299" t="n"/>
      <c r="G803" s="299" t="n"/>
      <c r="H803" s="51" t="n"/>
    </row>
    <row r="804">
      <c r="B804" s="299" t="n"/>
      <c r="D804" s="53" t="n"/>
      <c r="F804" s="299" t="n"/>
      <c r="G804" s="299" t="n"/>
      <c r="H804" s="51" t="n"/>
    </row>
    <row r="805">
      <c r="B805" s="299" t="n"/>
      <c r="D805" s="53" t="n"/>
      <c r="F805" s="299" t="n"/>
      <c r="G805" s="299" t="n"/>
      <c r="H805" s="51" t="n"/>
    </row>
    <row r="806">
      <c r="B806" s="299" t="n"/>
      <c r="D806" s="53" t="n"/>
      <c r="F806" s="299" t="n"/>
      <c r="G806" s="299" t="n"/>
      <c r="H806" s="51" t="n"/>
    </row>
    <row r="807">
      <c r="B807" s="299" t="n"/>
      <c r="D807" s="53" t="n"/>
      <c r="F807" s="299" t="n"/>
      <c r="G807" s="299" t="n"/>
      <c r="H807" s="51" t="n"/>
    </row>
    <row r="808">
      <c r="B808" s="299" t="n"/>
      <c r="D808" s="53" t="n"/>
      <c r="F808" s="299" t="n"/>
      <c r="G808" s="299" t="n"/>
      <c r="H808" s="51" t="n"/>
    </row>
    <row r="809">
      <c r="B809" s="299" t="n"/>
      <c r="D809" s="53" t="n"/>
      <c r="F809" s="299" t="n"/>
      <c r="G809" s="299" t="n"/>
      <c r="H809" s="51" t="n"/>
    </row>
    <row r="810">
      <c r="B810" s="299" t="n"/>
      <c r="D810" s="53" t="n"/>
      <c r="F810" s="299" t="n"/>
      <c r="G810" s="299" t="n"/>
      <c r="H810" s="51" t="n"/>
    </row>
    <row r="811">
      <c r="B811" s="299" t="n"/>
      <c r="D811" s="53" t="n"/>
      <c r="F811" s="299" t="n"/>
      <c r="G811" s="299" t="n"/>
      <c r="H811" s="51" t="n"/>
    </row>
    <row r="812">
      <c r="B812" s="299" t="n"/>
      <c r="D812" s="53" t="n"/>
      <c r="F812" s="299" t="n"/>
      <c r="G812" s="299" t="n"/>
      <c r="H812" s="51" t="n"/>
    </row>
    <row r="813">
      <c r="B813" s="299" t="n"/>
      <c r="D813" s="53" t="n"/>
      <c r="F813" s="299" t="n"/>
      <c r="G813" s="299" t="n"/>
      <c r="H813" s="51" t="n"/>
    </row>
    <row r="814">
      <c r="B814" s="299" t="n"/>
      <c r="D814" s="53" t="n"/>
      <c r="F814" s="299" t="n"/>
      <c r="G814" s="299" t="n"/>
      <c r="H814" s="51" t="n"/>
    </row>
    <row r="815">
      <c r="B815" s="299" t="n"/>
      <c r="D815" s="53" t="n"/>
      <c r="F815" s="299" t="n"/>
      <c r="G815" s="299" t="n"/>
      <c r="H815" s="51" t="n"/>
    </row>
    <row r="816">
      <c r="B816" s="299" t="n"/>
      <c r="D816" s="53" t="n"/>
      <c r="F816" s="299" t="n"/>
      <c r="G816" s="299" t="n"/>
      <c r="H816" s="51" t="n"/>
    </row>
    <row r="817">
      <c r="B817" s="299" t="n"/>
      <c r="D817" s="53" t="n"/>
      <c r="F817" s="299" t="n"/>
      <c r="G817" s="299" t="n"/>
      <c r="H817" s="51" t="n"/>
    </row>
    <row r="818">
      <c r="B818" s="299" t="n"/>
      <c r="D818" s="53" t="n"/>
      <c r="F818" s="299" t="n"/>
      <c r="G818" s="299" t="n"/>
      <c r="H818" s="51" t="n"/>
    </row>
    <row r="819">
      <c r="B819" s="299" t="n"/>
      <c r="D819" s="53" t="n"/>
      <c r="F819" s="299" t="n"/>
      <c r="G819" s="299" t="n"/>
      <c r="H819" s="51" t="n"/>
    </row>
    <row r="820">
      <c r="B820" s="299" t="n"/>
      <c r="D820" s="53" t="n"/>
      <c r="F820" s="299" t="n"/>
      <c r="G820" s="299" t="n"/>
      <c r="H820" s="51" t="n"/>
    </row>
    <row r="821">
      <c r="B821" s="299" t="n"/>
      <c r="D821" s="53" t="n"/>
      <c r="F821" s="299" t="n"/>
      <c r="G821" s="299" t="n"/>
      <c r="H821" s="51" t="n"/>
    </row>
    <row r="822">
      <c r="B822" s="299" t="n"/>
      <c r="D822" s="53" t="n"/>
      <c r="F822" s="299" t="n"/>
      <c r="G822" s="299" t="n"/>
      <c r="H822" s="51" t="n"/>
    </row>
    <row r="823">
      <c r="B823" s="299" t="n"/>
      <c r="D823" s="53" t="n"/>
      <c r="F823" s="299" t="n"/>
      <c r="G823" s="299" t="n"/>
      <c r="H823" s="51" t="n"/>
    </row>
    <row r="824">
      <c r="B824" s="299" t="n"/>
      <c r="D824" s="53" t="n"/>
      <c r="F824" s="299" t="n"/>
      <c r="G824" s="299" t="n"/>
      <c r="H824" s="51" t="n"/>
    </row>
    <row r="825">
      <c r="B825" s="299" t="n"/>
      <c r="D825" s="53" t="n"/>
      <c r="F825" s="299" t="n"/>
      <c r="G825" s="299" t="n"/>
      <c r="H825" s="51" t="n"/>
    </row>
    <row r="826">
      <c r="B826" s="299" t="n"/>
      <c r="D826" s="53" t="n"/>
      <c r="F826" s="299" t="n"/>
      <c r="G826" s="299" t="n"/>
      <c r="H826" s="51" t="n"/>
    </row>
    <row r="827">
      <c r="B827" s="299" t="n"/>
      <c r="D827" s="53" t="n"/>
      <c r="F827" s="299" t="n"/>
      <c r="G827" s="299" t="n"/>
      <c r="H827" s="51" t="n"/>
    </row>
    <row r="828">
      <c r="B828" s="299" t="n"/>
      <c r="D828" s="53" t="n"/>
      <c r="F828" s="299" t="n"/>
      <c r="G828" s="299" t="n"/>
      <c r="H828" s="51" t="n"/>
    </row>
    <row r="829">
      <c r="B829" s="299" t="n"/>
      <c r="D829" s="53" t="n"/>
      <c r="F829" s="299" t="n"/>
      <c r="G829" s="299" t="n"/>
      <c r="H829" s="51" t="n"/>
    </row>
    <row r="830">
      <c r="B830" s="299" t="n"/>
      <c r="D830" s="53" t="n"/>
      <c r="F830" s="299" t="n"/>
      <c r="G830" s="299" t="n"/>
      <c r="H830" s="51" t="n"/>
    </row>
    <row r="831">
      <c r="B831" s="299" t="n"/>
      <c r="D831" s="53" t="n"/>
      <c r="F831" s="299" t="n"/>
      <c r="G831" s="299" t="n"/>
      <c r="H831" s="51" t="n"/>
    </row>
    <row r="832">
      <c r="B832" s="299" t="n"/>
      <c r="D832" s="53" t="n"/>
      <c r="F832" s="299" t="n"/>
      <c r="G832" s="299" t="n"/>
      <c r="H832" s="51" t="n"/>
    </row>
    <row r="833">
      <c r="B833" s="299" t="n"/>
      <c r="D833" s="53" t="n"/>
      <c r="F833" s="299" t="n"/>
      <c r="G833" s="299" t="n"/>
      <c r="H833" s="51" t="n"/>
    </row>
    <row r="834">
      <c r="B834" s="299" t="n"/>
      <c r="D834" s="53" t="n"/>
      <c r="F834" s="299" t="n"/>
      <c r="G834" s="299" t="n"/>
      <c r="H834" s="51" t="n"/>
    </row>
    <row r="835">
      <c r="B835" s="299" t="n"/>
      <c r="D835" s="53" t="n"/>
      <c r="F835" s="299" t="n"/>
      <c r="G835" s="299" t="n"/>
      <c r="H835" s="51" t="n"/>
    </row>
    <row r="836">
      <c r="B836" s="299" t="n"/>
      <c r="D836" s="53" t="n"/>
      <c r="F836" s="299" t="n"/>
      <c r="G836" s="299" t="n"/>
      <c r="H836" s="51" t="n"/>
    </row>
    <row r="837">
      <c r="B837" s="299" t="n"/>
      <c r="D837" s="53" t="n"/>
      <c r="F837" s="299" t="n"/>
      <c r="G837" s="299" t="n"/>
      <c r="H837" s="51" t="n"/>
    </row>
    <row r="838">
      <c r="B838" s="299" t="n"/>
      <c r="D838" s="53" t="n"/>
      <c r="F838" s="299" t="n"/>
      <c r="G838" s="299" t="n"/>
      <c r="H838" s="51" t="n"/>
    </row>
    <row r="839">
      <c r="B839" s="299" t="n"/>
      <c r="D839" s="53" t="n"/>
      <c r="F839" s="299" t="n"/>
      <c r="G839" s="299" t="n"/>
      <c r="H839" s="51" t="n"/>
    </row>
    <row r="840">
      <c r="B840" s="299" t="n"/>
      <c r="D840" s="53" t="n"/>
      <c r="F840" s="299" t="n"/>
      <c r="G840" s="299" t="n"/>
      <c r="H840" s="51" t="n"/>
    </row>
    <row r="841">
      <c r="B841" s="299" t="n"/>
      <c r="D841" s="53" t="n"/>
      <c r="F841" s="299" t="n"/>
      <c r="G841" s="299" t="n"/>
      <c r="H841" s="51" t="n"/>
    </row>
    <row r="842">
      <c r="B842" s="299" t="n"/>
      <c r="D842" s="53" t="n"/>
      <c r="F842" s="299" t="n"/>
      <c r="G842" s="299" t="n"/>
      <c r="H842" s="51" t="n"/>
    </row>
    <row r="843">
      <c r="B843" s="299" t="n"/>
      <c r="D843" s="53" t="n"/>
      <c r="F843" s="299" t="n"/>
      <c r="G843" s="299" t="n"/>
      <c r="H843" s="51" t="n"/>
    </row>
    <row r="844">
      <c r="B844" s="299" t="n"/>
      <c r="D844" s="53" t="n"/>
      <c r="F844" s="299" t="n"/>
      <c r="G844" s="299" t="n"/>
      <c r="H844" s="51" t="n"/>
    </row>
    <row r="845">
      <c r="B845" s="299" t="n"/>
      <c r="D845" s="53" t="n"/>
      <c r="F845" s="299" t="n"/>
      <c r="G845" s="299" t="n"/>
      <c r="H845" s="51" t="n"/>
    </row>
    <row r="846">
      <c r="B846" s="299" t="n"/>
      <c r="D846" s="53" t="n"/>
      <c r="F846" s="299" t="n"/>
      <c r="G846" s="299" t="n"/>
      <c r="H846" s="51" t="n"/>
    </row>
    <row r="847">
      <c r="B847" s="299" t="n"/>
      <c r="D847" s="53" t="n"/>
      <c r="F847" s="299" t="n"/>
      <c r="G847" s="299" t="n"/>
      <c r="H847" s="51" t="n"/>
    </row>
    <row r="848">
      <c r="B848" s="299" t="n"/>
      <c r="D848" s="53" t="n"/>
      <c r="F848" s="299" t="n"/>
      <c r="G848" s="299" t="n"/>
      <c r="H848" s="51" t="n"/>
    </row>
    <row r="849">
      <c r="B849" s="299" t="n"/>
      <c r="D849" s="53" t="n"/>
      <c r="F849" s="299" t="n"/>
      <c r="G849" s="299" t="n"/>
      <c r="H849" s="51" t="n"/>
    </row>
    <row r="850">
      <c r="B850" s="299" t="n"/>
      <c r="D850" s="53" t="n"/>
      <c r="F850" s="299" t="n"/>
      <c r="G850" s="299" t="n"/>
      <c r="H850" s="51" t="n"/>
    </row>
    <row r="851">
      <c r="B851" s="299" t="n"/>
      <c r="D851" s="53" t="n"/>
      <c r="F851" s="299" t="n"/>
      <c r="G851" s="299" t="n"/>
      <c r="H851" s="51" t="n"/>
    </row>
    <row r="852">
      <c r="B852" s="299" t="n"/>
      <c r="D852" s="53" t="n"/>
      <c r="F852" s="299" t="n"/>
      <c r="G852" s="299" t="n"/>
      <c r="H852" s="51" t="n"/>
    </row>
    <row r="853">
      <c r="B853" s="299" t="n"/>
      <c r="D853" s="53" t="n"/>
      <c r="F853" s="299" t="n"/>
      <c r="G853" s="299" t="n"/>
      <c r="H853" s="51" t="n"/>
    </row>
    <row r="854">
      <c r="B854" s="299" t="n"/>
      <c r="D854" s="53" t="n"/>
      <c r="F854" s="299" t="n"/>
      <c r="G854" s="299" t="n"/>
      <c r="H854" s="51" t="n"/>
    </row>
    <row r="855">
      <c r="B855" s="299" t="n"/>
      <c r="D855" s="53" t="n"/>
      <c r="F855" s="299" t="n"/>
      <c r="G855" s="299" t="n"/>
      <c r="H855" s="51" t="n"/>
    </row>
    <row r="856">
      <c r="B856" s="299" t="n"/>
      <c r="D856" s="53" t="n"/>
      <c r="F856" s="299" t="n"/>
      <c r="G856" s="299" t="n"/>
      <c r="H856" s="51" t="n"/>
    </row>
    <row r="857">
      <c r="B857" s="299" t="n"/>
      <c r="D857" s="53" t="n"/>
      <c r="F857" s="299" t="n"/>
      <c r="G857" s="299" t="n"/>
      <c r="H857" s="51" t="n"/>
    </row>
    <row r="858">
      <c r="B858" s="299" t="n"/>
      <c r="D858" s="53" t="n"/>
      <c r="F858" s="299" t="n"/>
      <c r="G858" s="299" t="n"/>
      <c r="H858" s="51" t="n"/>
    </row>
    <row r="859">
      <c r="B859" s="299" t="n"/>
      <c r="D859" s="53" t="n"/>
      <c r="F859" s="299" t="n"/>
      <c r="G859" s="299" t="n"/>
      <c r="H859" s="51" t="n"/>
    </row>
    <row r="860">
      <c r="B860" s="299" t="n"/>
      <c r="D860" s="53" t="n"/>
      <c r="F860" s="299" t="n"/>
      <c r="G860" s="299" t="n"/>
      <c r="H860" s="51" t="n"/>
    </row>
    <row r="861">
      <c r="B861" s="299" t="n"/>
      <c r="D861" s="53" t="n"/>
      <c r="F861" s="299" t="n"/>
      <c r="G861" s="299" t="n"/>
      <c r="H861" s="51" t="n"/>
    </row>
    <row r="862">
      <c r="B862" s="299" t="n"/>
      <c r="D862" s="53" t="n"/>
      <c r="F862" s="299" t="n"/>
      <c r="G862" s="299" t="n"/>
      <c r="H862" s="51" t="n"/>
    </row>
    <row r="863">
      <c r="B863" s="299" t="n"/>
      <c r="D863" s="53" t="n"/>
      <c r="F863" s="299" t="n"/>
      <c r="G863" s="299" t="n"/>
      <c r="H863" s="51" t="n"/>
    </row>
    <row r="864">
      <c r="B864" s="299" t="n"/>
      <c r="D864" s="53" t="n"/>
      <c r="F864" s="299" t="n"/>
      <c r="G864" s="299" t="n"/>
      <c r="H864" s="51" t="n"/>
    </row>
    <row r="865">
      <c r="B865" s="299" t="n"/>
      <c r="D865" s="53" t="n"/>
      <c r="F865" s="299" t="n"/>
      <c r="G865" s="299" t="n"/>
      <c r="H865" s="51" t="n"/>
    </row>
    <row r="866">
      <c r="B866" s="299" t="n"/>
      <c r="D866" s="53" t="n"/>
      <c r="F866" s="299" t="n"/>
      <c r="G866" s="299" t="n"/>
      <c r="H866" s="51" t="n"/>
    </row>
    <row r="867">
      <c r="B867" s="299" t="n"/>
      <c r="D867" s="53" t="n"/>
      <c r="F867" s="299" t="n"/>
      <c r="G867" s="299" t="n"/>
      <c r="H867" s="51" t="n"/>
    </row>
    <row r="868">
      <c r="B868" s="299" t="n"/>
      <c r="D868" s="53" t="n"/>
      <c r="F868" s="299" t="n"/>
      <c r="G868" s="299" t="n"/>
      <c r="H868" s="51" t="n"/>
    </row>
    <row r="869">
      <c r="B869" s="299" t="n"/>
      <c r="D869" s="53" t="n"/>
      <c r="F869" s="299" t="n"/>
      <c r="G869" s="299" t="n"/>
      <c r="H869" s="51" t="n"/>
    </row>
    <row r="870">
      <c r="B870" s="299" t="n"/>
      <c r="D870" s="53" t="n"/>
      <c r="F870" s="299" t="n"/>
      <c r="G870" s="299" t="n"/>
      <c r="H870" s="51" t="n"/>
    </row>
    <row r="871">
      <c r="B871" s="299" t="n"/>
      <c r="D871" s="53" t="n"/>
      <c r="F871" s="299" t="n"/>
      <c r="G871" s="299" t="n"/>
      <c r="H871" s="51" t="n"/>
    </row>
    <row r="872">
      <c r="B872" s="299" t="n"/>
      <c r="D872" s="53" t="n"/>
      <c r="F872" s="299" t="n"/>
      <c r="G872" s="299" t="n"/>
      <c r="H872" s="51" t="n"/>
    </row>
    <row r="873">
      <c r="B873" s="299" t="n"/>
      <c r="D873" s="53" t="n"/>
      <c r="F873" s="299" t="n"/>
      <c r="G873" s="299" t="n"/>
      <c r="H873" s="51" t="n"/>
    </row>
    <row r="874">
      <c r="B874" s="299" t="n"/>
      <c r="D874" s="53" t="n"/>
      <c r="F874" s="299" t="n"/>
      <c r="G874" s="299" t="n"/>
      <c r="H874" s="51" t="n"/>
    </row>
    <row r="875">
      <c r="B875" s="299" t="n"/>
      <c r="D875" s="53" t="n"/>
      <c r="F875" s="299" t="n"/>
      <c r="G875" s="299" t="n"/>
      <c r="H875" s="51" t="n"/>
    </row>
    <row r="876">
      <c r="B876" s="299" t="n"/>
      <c r="D876" s="53" t="n"/>
      <c r="F876" s="299" t="n"/>
      <c r="G876" s="299" t="n"/>
      <c r="H876" s="51" t="n"/>
    </row>
    <row r="877">
      <c r="B877" s="299" t="n"/>
      <c r="D877" s="53" t="n"/>
      <c r="F877" s="299" t="n"/>
      <c r="G877" s="299" t="n"/>
      <c r="H877" s="51" t="n"/>
    </row>
    <row r="878">
      <c r="B878" s="299" t="n"/>
      <c r="D878" s="53" t="n"/>
      <c r="F878" s="299" t="n"/>
      <c r="G878" s="299" t="n"/>
      <c r="H878" s="51" t="n"/>
    </row>
    <row r="879">
      <c r="B879" s="299" t="n"/>
      <c r="D879" s="53" t="n"/>
      <c r="F879" s="299" t="n"/>
      <c r="G879" s="299" t="n"/>
      <c r="H879" s="51" t="n"/>
    </row>
    <row r="880">
      <c r="B880" s="299" t="n"/>
      <c r="D880" s="53" t="n"/>
      <c r="F880" s="299" t="n"/>
      <c r="G880" s="299" t="n"/>
      <c r="H880" s="51" t="n"/>
    </row>
    <row r="881">
      <c r="B881" s="299" t="n"/>
      <c r="D881" s="53" t="n"/>
      <c r="F881" s="299" t="n"/>
      <c r="G881" s="299" t="n"/>
      <c r="H881" s="51" t="n"/>
    </row>
    <row r="882">
      <c r="B882" s="299" t="n"/>
      <c r="D882" s="53" t="n"/>
      <c r="F882" s="299" t="n"/>
      <c r="G882" s="299" t="n"/>
      <c r="H882" s="51" t="n"/>
    </row>
    <row r="883">
      <c r="B883" s="299" t="n"/>
      <c r="D883" s="53" t="n"/>
      <c r="F883" s="299" t="n"/>
      <c r="G883" s="299" t="n"/>
      <c r="H883" s="51" t="n"/>
    </row>
    <row r="884">
      <c r="B884" s="299" t="n"/>
      <c r="D884" s="53" t="n"/>
      <c r="F884" s="299" t="n"/>
      <c r="G884" s="299" t="n"/>
      <c r="H884" s="51" t="n"/>
    </row>
    <row r="885">
      <c r="B885" s="299" t="n"/>
      <c r="D885" s="53" t="n"/>
      <c r="F885" s="299" t="n"/>
      <c r="G885" s="299" t="n"/>
      <c r="H885" s="51" t="n"/>
    </row>
    <row r="886">
      <c r="B886" s="299" t="n"/>
      <c r="D886" s="53" t="n"/>
      <c r="F886" s="299" t="n"/>
      <c r="G886" s="299" t="n"/>
      <c r="H886" s="51" t="n"/>
    </row>
    <row r="887">
      <c r="B887" s="299" t="n"/>
      <c r="D887" s="53" t="n"/>
      <c r="F887" s="299" t="n"/>
      <c r="G887" s="299" t="n"/>
      <c r="H887" s="51" t="n"/>
    </row>
    <row r="888">
      <c r="B888" s="299" t="n"/>
      <c r="D888" s="53" t="n"/>
      <c r="F888" s="299" t="n"/>
      <c r="G888" s="299" t="n"/>
      <c r="H888" s="51" t="n"/>
    </row>
    <row r="889">
      <c r="B889" s="299" t="n"/>
      <c r="D889" s="53" t="n"/>
      <c r="F889" s="299" t="n"/>
      <c r="G889" s="299" t="n"/>
      <c r="H889" s="51" t="n"/>
    </row>
    <row r="890">
      <c r="B890" s="299" t="n"/>
      <c r="D890" s="53" t="n"/>
      <c r="F890" s="299" t="n"/>
      <c r="G890" s="299" t="n"/>
      <c r="H890" s="51" t="n"/>
    </row>
    <row r="891">
      <c r="B891" s="299" t="n"/>
      <c r="D891" s="53" t="n"/>
      <c r="F891" s="299" t="n"/>
      <c r="G891" s="299" t="n"/>
      <c r="H891" s="51" t="n"/>
    </row>
    <row r="892">
      <c r="B892" s="299" t="n"/>
      <c r="D892" s="53" t="n"/>
      <c r="F892" s="299" t="n"/>
      <c r="G892" s="299" t="n"/>
      <c r="H892" s="51" t="n"/>
    </row>
    <row r="893">
      <c r="B893" s="299" t="n"/>
      <c r="D893" s="53" t="n"/>
      <c r="F893" s="299" t="n"/>
      <c r="G893" s="299" t="n"/>
      <c r="H893" s="51" t="n"/>
    </row>
    <row r="894">
      <c r="B894" s="299" t="n"/>
      <c r="D894" s="53" t="n"/>
      <c r="F894" s="299" t="n"/>
      <c r="G894" s="299" t="n"/>
      <c r="H894" s="51" t="n"/>
    </row>
    <row r="895">
      <c r="B895" s="299" t="n"/>
      <c r="D895" s="53" t="n"/>
      <c r="F895" s="299" t="n"/>
      <c r="G895" s="299" t="n"/>
      <c r="H895" s="51" t="n"/>
    </row>
    <row r="896">
      <c r="B896" s="299" t="n"/>
      <c r="D896" s="53" t="n"/>
      <c r="F896" s="299" t="n"/>
      <c r="G896" s="299" t="n"/>
      <c r="H896" s="51" t="n"/>
    </row>
    <row r="897">
      <c r="B897" s="299" t="n"/>
      <c r="D897" s="53" t="n"/>
      <c r="F897" s="299" t="n"/>
      <c r="G897" s="299" t="n"/>
      <c r="H897" s="51" t="n"/>
    </row>
    <row r="898">
      <c r="B898" s="299" t="n"/>
      <c r="D898" s="53" t="n"/>
      <c r="F898" s="299" t="n"/>
      <c r="G898" s="299" t="n"/>
      <c r="H898" s="51" t="n"/>
    </row>
    <row r="899">
      <c r="B899" s="299" t="n"/>
      <c r="D899" s="53" t="n"/>
      <c r="F899" s="299" t="n"/>
      <c r="G899" s="299" t="n"/>
      <c r="H899" s="51" t="n"/>
    </row>
    <row r="900">
      <c r="B900" s="299" t="n"/>
      <c r="D900" s="53" t="n"/>
      <c r="F900" s="299" t="n"/>
      <c r="G900" s="299" t="n"/>
      <c r="H900" s="51" t="n"/>
    </row>
    <row r="901">
      <c r="B901" s="299" t="n"/>
      <c r="D901" s="53" t="n"/>
      <c r="F901" s="299" t="n"/>
      <c r="G901" s="299" t="n"/>
      <c r="H901" s="51" t="n"/>
    </row>
    <row r="902">
      <c r="B902" s="299" t="n"/>
      <c r="D902" s="53" t="n"/>
      <c r="F902" s="299" t="n"/>
      <c r="G902" s="299" t="n"/>
      <c r="H902" s="51" t="n"/>
    </row>
    <row r="903">
      <c r="B903" s="299" t="n"/>
      <c r="D903" s="53" t="n"/>
      <c r="F903" s="299" t="n"/>
      <c r="G903" s="299" t="n"/>
      <c r="H903" s="51" t="n"/>
    </row>
    <row r="904">
      <c r="B904" s="299" t="n"/>
      <c r="D904" s="53" t="n"/>
      <c r="F904" s="299" t="n"/>
      <c r="G904" s="299" t="n"/>
      <c r="H904" s="51" t="n"/>
    </row>
    <row r="905">
      <c r="B905" s="299" t="n"/>
      <c r="D905" s="53" t="n"/>
      <c r="F905" s="299" t="n"/>
      <c r="G905" s="299" t="n"/>
      <c r="H905" s="51" t="n"/>
    </row>
    <row r="906">
      <c r="B906" s="299" t="n"/>
      <c r="D906" s="53" t="n"/>
      <c r="F906" s="299" t="n"/>
      <c r="G906" s="299" t="n"/>
      <c r="H906" s="51" t="n"/>
    </row>
    <row r="907">
      <c r="B907" s="299" t="n"/>
      <c r="D907" s="53" t="n"/>
      <c r="F907" s="299" t="n"/>
      <c r="G907" s="299" t="n"/>
      <c r="H907" s="51" t="n"/>
    </row>
    <row r="908">
      <c r="B908" s="299" t="n"/>
      <c r="D908" s="53" t="n"/>
      <c r="F908" s="299" t="n"/>
      <c r="G908" s="299" t="n"/>
      <c r="H908" s="51" t="n"/>
    </row>
    <row r="909">
      <c r="B909" s="299" t="n"/>
      <c r="D909" s="53" t="n"/>
      <c r="F909" s="299" t="n"/>
      <c r="G909" s="299" t="n"/>
      <c r="H909" s="51" t="n"/>
    </row>
    <row r="910">
      <c r="B910" s="299" t="n"/>
      <c r="D910" s="53" t="n"/>
      <c r="F910" s="299" t="n"/>
      <c r="G910" s="299" t="n"/>
      <c r="H910" s="51" t="n"/>
    </row>
    <row r="911">
      <c r="B911" s="299" t="n"/>
      <c r="D911" s="53" t="n"/>
      <c r="F911" s="299" t="n"/>
      <c r="G911" s="299" t="n"/>
      <c r="H911" s="51" t="n"/>
    </row>
    <row r="912">
      <c r="B912" s="299" t="n"/>
      <c r="D912" s="53" t="n"/>
      <c r="F912" s="299" t="n"/>
      <c r="G912" s="299" t="n"/>
      <c r="H912" s="51" t="n"/>
    </row>
    <row r="913">
      <c r="B913" s="299" t="n"/>
      <c r="D913" s="53" t="n"/>
      <c r="F913" s="299" t="n"/>
      <c r="G913" s="299" t="n"/>
      <c r="H913" s="51" t="n"/>
    </row>
    <row r="914">
      <c r="B914" s="299" t="n"/>
      <c r="D914" s="53" t="n"/>
      <c r="F914" s="299" t="n"/>
      <c r="G914" s="299" t="n"/>
      <c r="H914" s="51" t="n"/>
    </row>
    <row r="915">
      <c r="B915" s="299" t="n"/>
      <c r="D915" s="53" t="n"/>
      <c r="F915" s="299" t="n"/>
      <c r="G915" s="299" t="n"/>
      <c r="H915" s="51" t="n"/>
    </row>
    <row r="916">
      <c r="B916" s="299" t="n"/>
      <c r="D916" s="53" t="n"/>
      <c r="F916" s="299" t="n"/>
      <c r="G916" s="299" t="n"/>
      <c r="H916" s="51" t="n"/>
    </row>
    <row r="917">
      <c r="B917" s="299" t="n"/>
      <c r="D917" s="53" t="n"/>
      <c r="F917" s="299" t="n"/>
      <c r="G917" s="299" t="n"/>
      <c r="H917" s="51" t="n"/>
    </row>
    <row r="918">
      <c r="B918" s="299" t="n"/>
      <c r="D918" s="53" t="n"/>
      <c r="F918" s="299" t="n"/>
      <c r="G918" s="299" t="n"/>
      <c r="H918" s="51" t="n"/>
    </row>
    <row r="919">
      <c r="B919" s="299" t="n"/>
      <c r="D919" s="53" t="n"/>
      <c r="F919" s="299" t="n"/>
      <c r="G919" s="299" t="n"/>
      <c r="H919" s="51" t="n"/>
    </row>
    <row r="920">
      <c r="B920" s="299" t="n"/>
      <c r="D920" s="53" t="n"/>
      <c r="F920" s="299" t="n"/>
      <c r="G920" s="299" t="n"/>
      <c r="H920" s="51" t="n"/>
    </row>
    <row r="921">
      <c r="B921" s="299" t="n"/>
      <c r="D921" s="53" t="n"/>
      <c r="F921" s="299" t="n"/>
      <c r="G921" s="299" t="n"/>
      <c r="H921" s="51" t="n"/>
    </row>
    <row r="922">
      <c r="B922" s="299" t="n"/>
      <c r="D922" s="53" t="n"/>
      <c r="F922" s="299" t="n"/>
      <c r="G922" s="299" t="n"/>
      <c r="H922" s="51" t="n"/>
    </row>
    <row r="923">
      <c r="B923" s="299" t="n"/>
      <c r="D923" s="53" t="n"/>
      <c r="F923" s="299" t="n"/>
      <c r="G923" s="299" t="n"/>
      <c r="H923" s="51" t="n"/>
    </row>
    <row r="924">
      <c r="B924" s="299" t="n"/>
      <c r="D924" s="53" t="n"/>
      <c r="F924" s="299" t="n"/>
      <c r="G924" s="299" t="n"/>
      <c r="H924" s="51" t="n"/>
    </row>
    <row r="925">
      <c r="B925" s="299" t="n"/>
      <c r="D925" s="53" t="n"/>
      <c r="F925" s="299" t="n"/>
      <c r="G925" s="299" t="n"/>
      <c r="H925" s="51" t="n"/>
    </row>
    <row r="926">
      <c r="B926" s="299" t="n"/>
      <c r="D926" s="53" t="n"/>
      <c r="F926" s="299" t="n"/>
      <c r="G926" s="299" t="n"/>
      <c r="H926" s="51" t="n"/>
    </row>
    <row r="927">
      <c r="B927" s="299" t="n"/>
      <c r="D927" s="53" t="n"/>
      <c r="F927" s="299" t="n"/>
      <c r="G927" s="299" t="n"/>
      <c r="H927" s="51" t="n"/>
    </row>
    <row r="928">
      <c r="B928" s="299" t="n"/>
      <c r="D928" s="53" t="n"/>
      <c r="F928" s="299" t="n"/>
      <c r="G928" s="299" t="n"/>
      <c r="H928" s="51" t="n"/>
    </row>
    <row r="929">
      <c r="B929" s="299" t="n"/>
      <c r="D929" s="53" t="n"/>
      <c r="F929" s="299" t="n"/>
      <c r="G929" s="299" t="n"/>
      <c r="H929" s="51" t="n"/>
    </row>
    <row r="930">
      <c r="B930" s="299" t="n"/>
      <c r="D930" s="53" t="n"/>
      <c r="F930" s="299" t="n"/>
      <c r="G930" s="299" t="n"/>
      <c r="H930" s="51" t="n"/>
    </row>
    <row r="931">
      <c r="B931" s="299" t="n"/>
      <c r="D931" s="53" t="n"/>
      <c r="F931" s="299" t="n"/>
      <c r="G931" s="299" t="n"/>
      <c r="H931" s="51" t="n"/>
    </row>
    <row r="932">
      <c r="B932" s="299" t="n"/>
      <c r="D932" s="53" t="n"/>
      <c r="F932" s="299" t="n"/>
      <c r="G932" s="299" t="n"/>
      <c r="H932" s="51" t="n"/>
    </row>
    <row r="933">
      <c r="B933" s="299" t="n"/>
      <c r="D933" s="53" t="n"/>
      <c r="F933" s="299" t="n"/>
      <c r="G933" s="299" t="n"/>
      <c r="H933" s="51" t="n"/>
    </row>
    <row r="934">
      <c r="B934" s="299" t="n"/>
      <c r="D934" s="53" t="n"/>
      <c r="F934" s="299" t="n"/>
      <c r="G934" s="299" t="n"/>
      <c r="H934" s="51" t="n"/>
    </row>
    <row r="935">
      <c r="B935" s="299" t="n"/>
      <c r="D935" s="53" t="n"/>
      <c r="F935" s="299" t="n"/>
      <c r="G935" s="299" t="n"/>
      <c r="H935" s="51" t="n"/>
    </row>
    <row r="936">
      <c r="B936" s="299" t="n"/>
      <c r="D936" s="53" t="n"/>
      <c r="F936" s="299" t="n"/>
      <c r="G936" s="299" t="n"/>
      <c r="H936" s="51" t="n"/>
    </row>
    <row r="937">
      <c r="B937" s="299" t="n"/>
      <c r="D937" s="53" t="n"/>
      <c r="F937" s="299" t="n"/>
      <c r="G937" s="299" t="n"/>
      <c r="H937" s="51" t="n"/>
    </row>
    <row r="938">
      <c r="B938" s="299" t="n"/>
      <c r="D938" s="53" t="n"/>
      <c r="F938" s="299" t="n"/>
      <c r="G938" s="299" t="n"/>
      <c r="H938" s="51" t="n"/>
    </row>
    <row r="939">
      <c r="B939" s="299" t="n"/>
      <c r="D939" s="53" t="n"/>
      <c r="F939" s="299" t="n"/>
      <c r="G939" s="299" t="n"/>
      <c r="H939" s="51" t="n"/>
    </row>
    <row r="940">
      <c r="B940" s="299" t="n"/>
      <c r="D940" s="53" t="n"/>
      <c r="F940" s="299" t="n"/>
      <c r="G940" s="299" t="n"/>
      <c r="H940" s="51" t="n"/>
    </row>
    <row r="941">
      <c r="B941" s="299" t="n"/>
      <c r="D941" s="53" t="n"/>
      <c r="F941" s="299" t="n"/>
      <c r="G941" s="299" t="n"/>
      <c r="H941" s="51" t="n"/>
    </row>
    <row r="942">
      <c r="B942" s="299" t="n"/>
      <c r="D942" s="53" t="n"/>
      <c r="F942" s="299" t="n"/>
      <c r="G942" s="299" t="n"/>
      <c r="H942" s="51" t="n"/>
    </row>
    <row r="943">
      <c r="B943" s="299" t="n"/>
      <c r="D943" s="53" t="n"/>
      <c r="F943" s="299" t="n"/>
      <c r="G943" s="299" t="n"/>
      <c r="H943" s="51" t="n"/>
    </row>
    <row r="944">
      <c r="B944" s="299" t="n"/>
      <c r="D944" s="53" t="n"/>
      <c r="F944" s="299" t="n"/>
      <c r="G944" s="299" t="n"/>
      <c r="H944" s="51" t="n"/>
    </row>
    <row r="945">
      <c r="B945" s="299" t="n"/>
      <c r="D945" s="53" t="n"/>
      <c r="F945" s="299" t="n"/>
      <c r="G945" s="299" t="n"/>
      <c r="H945" s="51" t="n"/>
    </row>
    <row r="946">
      <c r="B946" s="299" t="n"/>
      <c r="D946" s="53" t="n"/>
      <c r="F946" s="299" t="n"/>
      <c r="G946" s="299" t="n"/>
      <c r="H946" s="51" t="n"/>
    </row>
    <row r="947">
      <c r="B947" s="299" t="n"/>
      <c r="D947" s="53" t="n"/>
      <c r="F947" s="299" t="n"/>
      <c r="G947" s="299" t="n"/>
      <c r="H947" s="51" t="n"/>
    </row>
    <row r="948">
      <c r="B948" s="299" t="n"/>
      <c r="D948" s="53" t="n"/>
      <c r="F948" s="299" t="n"/>
      <c r="G948" s="299" t="n"/>
      <c r="H948" s="51" t="n"/>
    </row>
    <row r="949">
      <c r="B949" s="299" t="n"/>
      <c r="D949" s="53" t="n"/>
      <c r="F949" s="299" t="n"/>
      <c r="G949" s="299" t="n"/>
      <c r="H949" s="51" t="n"/>
    </row>
    <row r="950">
      <c r="B950" s="299" t="n"/>
      <c r="D950" s="53" t="n"/>
      <c r="F950" s="299" t="n"/>
      <c r="G950" s="299" t="n"/>
      <c r="H950" s="51" t="n"/>
    </row>
    <row r="951">
      <c r="B951" s="299" t="n"/>
      <c r="D951" s="53" t="n"/>
      <c r="F951" s="299" t="n"/>
      <c r="G951" s="299" t="n"/>
      <c r="H951" s="51" t="n"/>
    </row>
    <row r="952">
      <c r="B952" s="299" t="n"/>
      <c r="D952" s="53" t="n"/>
      <c r="F952" s="299" t="n"/>
      <c r="G952" s="299" t="n"/>
      <c r="H952" s="51" t="n"/>
    </row>
    <row r="953">
      <c r="B953" s="299" t="n"/>
      <c r="D953" s="53" t="n"/>
      <c r="F953" s="299" t="n"/>
      <c r="G953" s="299" t="n"/>
      <c r="H953" s="51" t="n"/>
    </row>
    <row r="954">
      <c r="B954" s="299" t="n"/>
      <c r="D954" s="53" t="n"/>
      <c r="F954" s="299" t="n"/>
      <c r="G954" s="299" t="n"/>
      <c r="H954" s="51" t="n"/>
    </row>
    <row r="955">
      <c r="B955" s="299" t="n"/>
      <c r="D955" s="53" t="n"/>
      <c r="F955" s="299" t="n"/>
      <c r="G955" s="299" t="n"/>
      <c r="H955" s="51" t="n"/>
    </row>
    <row r="956">
      <c r="B956" s="299" t="n"/>
      <c r="D956" s="53" t="n"/>
      <c r="F956" s="299" t="n"/>
      <c r="G956" s="299" t="n"/>
      <c r="H956" s="51" t="n"/>
    </row>
    <row r="957">
      <c r="B957" s="299" t="n"/>
      <c r="D957" s="53" t="n"/>
      <c r="F957" s="299" t="n"/>
      <c r="G957" s="299" t="n"/>
      <c r="H957" s="51" t="n"/>
    </row>
    <row r="958">
      <c r="B958" s="299" t="n"/>
      <c r="D958" s="53" t="n"/>
      <c r="F958" s="299" t="n"/>
      <c r="G958" s="299" t="n"/>
      <c r="H958" s="51" t="n"/>
    </row>
    <row r="959">
      <c r="B959" s="299" t="n"/>
      <c r="D959" s="53" t="n"/>
      <c r="F959" s="299" t="n"/>
      <c r="G959" s="299" t="n"/>
      <c r="H959" s="51" t="n"/>
    </row>
    <row r="960">
      <c r="B960" s="299" t="n"/>
      <c r="D960" s="53" t="n"/>
      <c r="F960" s="299" t="n"/>
      <c r="G960" s="299" t="n"/>
      <c r="H960" s="51" t="n"/>
    </row>
    <row r="961">
      <c r="B961" s="299" t="n"/>
      <c r="D961" s="53" t="n"/>
      <c r="F961" s="299" t="n"/>
      <c r="G961" s="299" t="n"/>
      <c r="H961" s="51" t="n"/>
    </row>
    <row r="962">
      <c r="B962" s="299" t="n"/>
      <c r="D962" s="53" t="n"/>
      <c r="F962" s="299" t="n"/>
      <c r="G962" s="299" t="n"/>
      <c r="H962" s="51" t="n"/>
    </row>
    <row r="963">
      <c r="B963" s="299" t="n"/>
      <c r="D963" s="53" t="n"/>
      <c r="F963" s="299" t="n"/>
      <c r="G963" s="299" t="n"/>
      <c r="H963" s="51" t="n"/>
    </row>
    <row r="964">
      <c r="B964" s="299" t="n"/>
      <c r="D964" s="53" t="n"/>
      <c r="F964" s="299" t="n"/>
      <c r="G964" s="299" t="n"/>
      <c r="H964" s="51" t="n"/>
    </row>
    <row r="965">
      <c r="B965" s="299" t="n"/>
      <c r="D965" s="53" t="n"/>
      <c r="F965" s="299" t="n"/>
      <c r="G965" s="299" t="n"/>
      <c r="H965" s="51" t="n"/>
    </row>
    <row r="966">
      <c r="B966" s="299" t="n"/>
      <c r="D966" s="53" t="n"/>
      <c r="F966" s="299" t="n"/>
      <c r="G966" s="299" t="n"/>
      <c r="H966" s="51" t="n"/>
    </row>
    <row r="967">
      <c r="B967" s="299" t="n"/>
      <c r="D967" s="53" t="n"/>
      <c r="F967" s="299" t="n"/>
      <c r="G967" s="299" t="n"/>
      <c r="H967" s="51" t="n"/>
    </row>
    <row r="968">
      <c r="B968" s="299" t="n"/>
      <c r="D968" s="53" t="n"/>
      <c r="F968" s="299" t="n"/>
      <c r="G968" s="299" t="n"/>
      <c r="H968" s="51" t="n"/>
    </row>
    <row r="969">
      <c r="B969" s="299" t="n"/>
      <c r="D969" s="53" t="n"/>
      <c r="F969" s="299" t="n"/>
      <c r="G969" s="299" t="n"/>
      <c r="H969" s="51" t="n"/>
    </row>
    <row r="970">
      <c r="B970" s="299" t="n"/>
      <c r="D970" s="53" t="n"/>
      <c r="F970" s="299" t="n"/>
      <c r="G970" s="299" t="n"/>
      <c r="H970" s="51" t="n"/>
    </row>
    <row r="971">
      <c r="B971" s="299" t="n"/>
      <c r="D971" s="53" t="n"/>
      <c r="F971" s="299" t="n"/>
      <c r="G971" s="299" t="n"/>
      <c r="H971" s="51" t="n"/>
    </row>
    <row r="972">
      <c r="B972" s="299" t="n"/>
      <c r="D972" s="53" t="n"/>
      <c r="F972" s="299" t="n"/>
      <c r="G972" s="299" t="n"/>
      <c r="H972" s="51" t="n"/>
    </row>
    <row r="973">
      <c r="B973" s="299" t="n"/>
      <c r="D973" s="53" t="n"/>
      <c r="F973" s="299" t="n"/>
      <c r="G973" s="299" t="n"/>
      <c r="H973" s="51" t="n"/>
    </row>
    <row r="974">
      <c r="B974" s="299" t="n"/>
      <c r="D974" s="53" t="n"/>
      <c r="F974" s="299" t="n"/>
      <c r="G974" s="299" t="n"/>
      <c r="H974" s="51" t="n"/>
    </row>
    <row r="975">
      <c r="B975" s="299" t="n"/>
      <c r="D975" s="53" t="n"/>
      <c r="F975" s="299" t="n"/>
      <c r="G975" s="299" t="n"/>
      <c r="H975" s="51" t="n"/>
    </row>
    <row r="976">
      <c r="B976" s="299" t="n"/>
      <c r="D976" s="53" t="n"/>
      <c r="F976" s="299" t="n"/>
      <c r="G976" s="299" t="n"/>
      <c r="H976" s="51" t="n"/>
    </row>
    <row r="977">
      <c r="B977" s="299" t="n"/>
      <c r="D977" s="53" t="n"/>
      <c r="F977" s="299" t="n"/>
      <c r="G977" s="299" t="n"/>
      <c r="H977" s="51" t="n"/>
    </row>
    <row r="978">
      <c r="B978" s="299" t="n"/>
      <c r="D978" s="53" t="n"/>
      <c r="F978" s="299" t="n"/>
      <c r="G978" s="299" t="n"/>
      <c r="H978" s="51" t="n"/>
    </row>
    <row r="979">
      <c r="B979" s="299" t="n"/>
      <c r="D979" s="53" t="n"/>
      <c r="F979" s="299" t="n"/>
      <c r="G979" s="299" t="n"/>
      <c r="H979" s="51" t="n"/>
    </row>
    <row r="980">
      <c r="B980" s="299" t="n"/>
      <c r="D980" s="53" t="n"/>
      <c r="F980" s="299" t="n"/>
      <c r="G980" s="299" t="n"/>
      <c r="H980" s="51" t="n"/>
    </row>
    <row r="981">
      <c r="B981" s="299" t="n"/>
      <c r="D981" s="53" t="n"/>
      <c r="F981" s="299" t="n"/>
      <c r="G981" s="299" t="n"/>
      <c r="H981" s="51" t="n"/>
    </row>
    <row r="982">
      <c r="B982" s="299" t="n"/>
      <c r="D982" s="53" t="n"/>
      <c r="F982" s="299" t="n"/>
      <c r="G982" s="299" t="n"/>
      <c r="H982" s="51" t="n"/>
    </row>
    <row r="983">
      <c r="B983" s="299" t="n"/>
      <c r="D983" s="53" t="n"/>
      <c r="F983" s="299" t="n"/>
      <c r="G983" s="299" t="n"/>
      <c r="H983" s="51" t="n"/>
    </row>
    <row r="984">
      <c r="B984" s="299" t="n"/>
      <c r="D984" s="53" t="n"/>
      <c r="F984" s="299" t="n"/>
      <c r="G984" s="299" t="n"/>
      <c r="H984" s="51" t="n"/>
    </row>
    <row r="985">
      <c r="B985" s="299" t="n"/>
      <c r="D985" s="53" t="n"/>
      <c r="F985" s="299" t="n"/>
      <c r="G985" s="299" t="n"/>
      <c r="H985" s="51" t="n"/>
    </row>
    <row r="986">
      <c r="B986" s="299" t="n"/>
      <c r="D986" s="53" t="n"/>
      <c r="F986" s="299" t="n"/>
      <c r="G986" s="299" t="n"/>
      <c r="H986" s="51" t="n"/>
    </row>
    <row r="987">
      <c r="B987" s="299" t="n"/>
      <c r="D987" s="53" t="n"/>
      <c r="F987" s="299" t="n"/>
      <c r="G987" s="299" t="n"/>
      <c r="H987" s="51" t="n"/>
    </row>
    <row r="988">
      <c r="B988" s="299" t="n"/>
      <c r="D988" s="53" t="n"/>
      <c r="F988" s="299" t="n"/>
      <c r="G988" s="299" t="n"/>
      <c r="H988" s="51" t="n"/>
    </row>
    <row r="989">
      <c r="B989" s="299" t="n"/>
      <c r="D989" s="53" t="n"/>
      <c r="F989" s="299" t="n"/>
      <c r="G989" s="299" t="n"/>
      <c r="H989" s="51" t="n"/>
    </row>
    <row r="990">
      <c r="B990" s="299" t="n"/>
      <c r="D990" s="53" t="n"/>
      <c r="F990" s="299" t="n"/>
      <c r="G990" s="299" t="n"/>
      <c r="H990" s="51" t="n"/>
    </row>
    <row r="991">
      <c r="B991" s="299" t="n"/>
      <c r="D991" s="53" t="n"/>
      <c r="F991" s="299" t="n"/>
      <c r="G991" s="299" t="n"/>
      <c r="H991" s="51" t="n"/>
    </row>
    <row r="992">
      <c r="B992" s="299" t="n"/>
      <c r="D992" s="53" t="n"/>
      <c r="F992" s="299" t="n"/>
      <c r="G992" s="299" t="n"/>
      <c r="H992" s="51" t="n"/>
    </row>
    <row r="993">
      <c r="B993" s="299" t="n"/>
      <c r="D993" s="53" t="n"/>
      <c r="F993" s="299" t="n"/>
      <c r="G993" s="299" t="n"/>
      <c r="H993" s="51" t="n"/>
    </row>
    <row r="994">
      <c r="B994" s="299" t="n"/>
      <c r="D994" s="53" t="n"/>
      <c r="F994" s="299" t="n"/>
      <c r="G994" s="299" t="n"/>
      <c r="H994" s="51" t="n"/>
    </row>
    <row r="995">
      <c r="B995" s="299" t="n"/>
      <c r="D995" s="53" t="n"/>
      <c r="F995" s="299" t="n"/>
      <c r="G995" s="299" t="n"/>
      <c r="H995" s="51" t="n"/>
    </row>
    <row r="996">
      <c r="B996" s="299" t="n"/>
      <c r="D996" s="53" t="n"/>
      <c r="F996" s="299" t="n"/>
      <c r="G996" s="299" t="n"/>
      <c r="H996" s="51" t="n"/>
    </row>
    <row r="997">
      <c r="B997" s="299" t="n"/>
      <c r="D997" s="53" t="n"/>
      <c r="F997" s="299" t="n"/>
      <c r="G997" s="299" t="n"/>
      <c r="H997" s="51" t="n"/>
    </row>
    <row r="998">
      <c r="B998" s="299" t="n"/>
      <c r="D998" s="53" t="n"/>
      <c r="F998" s="299" t="n"/>
      <c r="G998" s="299" t="n"/>
      <c r="H998" s="51" t="n"/>
    </row>
    <row r="999">
      <c r="B999" s="299" t="n"/>
      <c r="D999" s="53" t="n"/>
      <c r="F999" s="299" t="n"/>
      <c r="G999" s="299" t="n"/>
      <c r="H999" s="51" t="n"/>
    </row>
    <row r="1000">
      <c r="B1000" s="299" t="n"/>
      <c r="D1000" s="53" t="n"/>
      <c r="F1000" s="299" t="n"/>
      <c r="G1000" s="299" t="n"/>
      <c r="H1000" s="51" t="n"/>
    </row>
  </sheetData>
  <mergeCells count="1">
    <mergeCell ref="A1:K2"/>
  </mergeCells>
  <conditionalFormatting sqref="F5:F500">
    <cfRule type="expression" priority="1" dxfId="0">
      <formula>AND($F5&lt;TODAY(),$F5&lt;&gt;"",$E5&lt;&gt;"Kabul",$E5&lt;&gt;"Red")</formula>
    </cfRule>
  </conditionalFormatting>
  <conditionalFormatting sqref="G5:G500">
    <cfRule type="expression" priority="2" dxfId="1">
      <formula>AND($G5&lt;=TODAY(),$G5&lt;&gt;"",$E5&lt;&gt;"Kabul",$E5&lt;&gt;"Red")</formula>
    </cfRule>
  </conditionalFormatting>
  <dataValidations count="2">
    <dataValidation sqref="E6:E1000" showDropDown="0" showInputMessage="1" showErrorMessage="1" allowBlank="1" type="list">
      <formula1>"Taslak,Gönderildi,Takipte,Kabul,Red,Süresi Doldu"</formula1>
    </dataValidation>
    <dataValidation sqref="H6:H1000" showDropDown="0" showInputMessage="1" showErrorMessage="1" allowBlank="1" type="decimal">
      <formula1>0</formula1>
      <formula2>1</formula2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1.xml><?xml version="1.0" encoding="utf-8"?>
<worksheet xmlns="http://schemas.openxmlformats.org/spreadsheetml/2006/main">
  <sheetPr codeName="Sayfa21">
    <outlinePr summaryBelow="1" summaryRight="1"/>
    <pageSetUpPr/>
  </sheetPr>
  <dimension ref="A1:F1003"/>
  <sheetViews>
    <sheetView workbookViewId="0">
      <selection activeCell="Q6" sqref="Q6"/>
    </sheetView>
  </sheetViews>
  <sheetFormatPr baseColWidth="8" defaultRowHeight="15"/>
  <cols>
    <col width="17" bestFit="1" customWidth="1" style="164" min="1" max="1"/>
    <col width="30.140625" bestFit="1" customWidth="1" style="164" min="2" max="2"/>
    <col width="15" bestFit="1" customWidth="1" style="164" min="3" max="3"/>
    <col width="10.7109375" bestFit="1" customWidth="1" style="164" min="4" max="4"/>
    <col width="14.28515625" bestFit="1" customWidth="1" style="164" min="5" max="5"/>
    <col width="9.5703125" bestFit="1" customWidth="1" style="164" min="6" max="6"/>
  </cols>
  <sheetData>
    <row r="1">
      <c r="A1" s="224" t="inlineStr">
        <is>
          <t>PDF VE E-POSTA İŞLEM GÜNLÜĞÜ</t>
        </is>
      </c>
    </row>
    <row r="2"/>
    <row r="3">
      <c r="A3" s="231" t="n"/>
      <c r="B3" s="231" t="n"/>
      <c r="C3" s="231" t="n"/>
      <c r="D3" s="231" t="n"/>
      <c r="E3" s="231" t="n"/>
      <c r="F3" s="231" t="n"/>
    </row>
    <row r="4">
      <c r="A4" s="231" t="inlineStr">
        <is>
          <t>Zaman</t>
        </is>
      </c>
      <c r="B4" s="231" t="inlineStr">
        <is>
          <t>İşlem</t>
        </is>
      </c>
      <c r="C4" s="231" t="inlineStr">
        <is>
          <t>Teklif No</t>
        </is>
      </c>
      <c r="D4" s="231" t="inlineStr">
        <is>
          <t>Müşteri</t>
        </is>
      </c>
      <c r="E4" s="231" t="inlineStr">
        <is>
          <t>Dosya Yolu</t>
        </is>
      </c>
      <c r="F4" s="231" t="inlineStr">
        <is>
          <t>Sonuç</t>
        </is>
      </c>
    </row>
    <row r="5">
      <c r="A5" s="60" t="n">
        <v>46292.66666666666</v>
      </c>
      <c r="B5" s="231" t="inlineStr">
        <is>
          <t>Sistem geliştirmeleri uygulandı</t>
        </is>
      </c>
      <c r="C5" s="231" t="inlineStr">
        <is>
          <t>TKL-2026-0001</t>
        </is>
      </c>
      <c r="D5" s="231" t="n"/>
      <c r="E5" s="231" t="n"/>
      <c r="F5" s="231" t="inlineStr">
        <is>
          <t>Başarılı</t>
        </is>
      </c>
    </row>
    <row r="6">
      <c r="A6" s="90" t="n">
        <v>46292.85895833333</v>
      </c>
      <c r="B6" s="91" t="inlineStr">
        <is>
          <t>Outlook taslağı açıldı</t>
        </is>
      </c>
      <c r="C6" s="91" t="inlineStr">
        <is>
          <t>TKL-2026-0001</t>
        </is>
      </c>
      <c r="D6" s="91" t="n"/>
      <c r="E6" s="91" t="inlineStr">
        <is>
          <t>C:\Users\CASPER\OneDrive\Desktop\Teklifler\PDF\Teklif_TKL-2026-0001_20260927_203647.pdf</t>
        </is>
      </c>
      <c r="F6" s="91" t="inlineStr">
        <is>
          <t>Başarılı</t>
        </is>
      </c>
    </row>
    <row r="7">
      <c r="A7" s="106" t="n">
        <v>46292.93865740741</v>
      </c>
      <c r="B7" s="107" t="inlineStr">
        <is>
          <t>PDF kaydedildi</t>
        </is>
      </c>
      <c r="C7" s="107" t="inlineStr">
        <is>
          <t>TKL-2026-0001</t>
        </is>
      </c>
      <c r="D7" s="107" t="n"/>
      <c r="E7" s="107" t="inlineStr">
        <is>
          <t>C:\Users\CASPER\OneDrive\Desktop\Teklifler\PDF\Teklif_TKL-2026-0001_20260927_223137.pdf</t>
        </is>
      </c>
      <c r="F7" s="107" t="inlineStr">
        <is>
          <t>Başarılı</t>
        </is>
      </c>
    </row>
    <row r="8">
      <c r="A8" s="106" t="n">
        <v>46292.94075231482</v>
      </c>
      <c r="B8" s="107" t="inlineStr">
        <is>
          <t>PDF kaydedildi</t>
        </is>
      </c>
      <c r="C8" s="107" t="inlineStr">
        <is>
          <t>TKL-2026-0001</t>
        </is>
      </c>
      <c r="D8" s="107" t="n"/>
      <c r="E8" s="107" t="inlineStr">
        <is>
          <t>C:\Users\CASPER\OneDrive\Desktop\Teklifler\PDF\Teklif_TKL-2026-0001_20260927_223440.pdf</t>
        </is>
      </c>
      <c r="F8" s="107" t="inlineStr">
        <is>
          <t>Başarılı</t>
        </is>
      </c>
    </row>
    <row r="9">
      <c r="A9" s="54" t="n"/>
    </row>
    <row r="10">
      <c r="A10" s="54" t="n"/>
    </row>
    <row r="11">
      <c r="A11" s="54" t="n"/>
    </row>
    <row r="12">
      <c r="A12" s="54" t="n"/>
    </row>
    <row r="13">
      <c r="A13" s="54" t="n"/>
    </row>
    <row r="14">
      <c r="A14" s="54" t="n"/>
    </row>
    <row r="15">
      <c r="A15" s="54" t="n"/>
    </row>
    <row r="16">
      <c r="A16" s="54" t="n"/>
    </row>
    <row r="17">
      <c r="A17" s="54" t="n"/>
    </row>
    <row r="18">
      <c r="A18" s="54" t="n"/>
    </row>
    <row r="19">
      <c r="A19" s="54" t="n"/>
    </row>
    <row r="20">
      <c r="A20" s="54" t="n"/>
    </row>
    <row r="21">
      <c r="A21" s="54" t="n"/>
    </row>
    <row r="22">
      <c r="A22" s="54" t="n"/>
    </row>
    <row r="23">
      <c r="A23" s="54" t="n"/>
    </row>
    <row r="24">
      <c r="A24" s="54" t="n"/>
    </row>
    <row r="25">
      <c r="A25" s="54" t="n"/>
    </row>
    <row r="26">
      <c r="A26" s="54" t="n"/>
    </row>
    <row r="27">
      <c r="A27" s="54" t="n"/>
    </row>
    <row r="28">
      <c r="A28" s="54" t="n"/>
    </row>
    <row r="29">
      <c r="A29" s="54" t="n"/>
    </row>
    <row r="30">
      <c r="A30" s="54" t="n"/>
    </row>
    <row r="31">
      <c r="A31" s="54" t="n"/>
    </row>
    <row r="32">
      <c r="A32" s="54" t="n"/>
    </row>
    <row r="33">
      <c r="A33" s="54" t="n"/>
    </row>
    <row r="34">
      <c r="A34" s="54" t="n"/>
    </row>
    <row r="35">
      <c r="A35" s="54" t="n"/>
    </row>
    <row r="36">
      <c r="A36" s="54" t="n"/>
    </row>
    <row r="37">
      <c r="A37" s="54" t="n"/>
    </row>
    <row r="38">
      <c r="A38" s="54" t="n"/>
    </row>
    <row r="39">
      <c r="A39" s="54" t="n"/>
    </row>
    <row r="40">
      <c r="A40" s="54" t="n"/>
    </row>
    <row r="41">
      <c r="A41" s="54" t="n"/>
    </row>
    <row r="42">
      <c r="A42" s="54" t="n"/>
    </row>
    <row r="43">
      <c r="A43" s="54" t="n"/>
    </row>
    <row r="44">
      <c r="A44" s="54" t="n"/>
    </row>
    <row r="45">
      <c r="A45" s="54" t="n"/>
    </row>
    <row r="46">
      <c r="A46" s="54" t="n"/>
    </row>
    <row r="47">
      <c r="A47" s="54" t="n"/>
    </row>
    <row r="48">
      <c r="A48" s="54" t="n"/>
    </row>
    <row r="49">
      <c r="A49" s="54" t="n"/>
    </row>
    <row r="50">
      <c r="A50" s="54" t="n"/>
    </row>
    <row r="51">
      <c r="A51" s="54" t="n"/>
    </row>
    <row r="52">
      <c r="A52" s="54" t="n"/>
    </row>
    <row r="53">
      <c r="A53" s="54" t="n"/>
    </row>
    <row r="54">
      <c r="A54" s="54" t="n"/>
    </row>
    <row r="55">
      <c r="A55" s="54" t="n"/>
    </row>
    <row r="56">
      <c r="A56" s="54" t="n"/>
    </row>
    <row r="57">
      <c r="A57" s="54" t="n"/>
    </row>
    <row r="58">
      <c r="A58" s="54" t="n"/>
    </row>
    <row r="59">
      <c r="A59" s="54" t="n"/>
    </row>
    <row r="60">
      <c r="A60" s="54" t="n"/>
    </row>
    <row r="61">
      <c r="A61" s="54" t="n"/>
    </row>
    <row r="62">
      <c r="A62" s="54" t="n"/>
    </row>
    <row r="63">
      <c r="A63" s="54" t="n"/>
    </row>
    <row r="64">
      <c r="A64" s="54" t="n"/>
    </row>
    <row r="65">
      <c r="A65" s="54" t="n"/>
    </row>
    <row r="66">
      <c r="A66" s="54" t="n"/>
    </row>
    <row r="67">
      <c r="A67" s="54" t="n"/>
    </row>
    <row r="68">
      <c r="A68" s="54" t="n"/>
    </row>
    <row r="69">
      <c r="A69" s="54" t="n"/>
    </row>
    <row r="70">
      <c r="A70" s="54" t="n"/>
    </row>
    <row r="71">
      <c r="A71" s="54" t="n"/>
    </row>
    <row r="72">
      <c r="A72" s="54" t="n"/>
    </row>
    <row r="73">
      <c r="A73" s="54" t="n"/>
    </row>
    <row r="74">
      <c r="A74" s="54" t="n"/>
    </row>
    <row r="75">
      <c r="A75" s="54" t="n"/>
    </row>
    <row r="76">
      <c r="A76" s="54" t="n"/>
    </row>
    <row r="77">
      <c r="A77" s="54" t="n"/>
    </row>
    <row r="78">
      <c r="A78" s="54" t="n"/>
    </row>
    <row r="79">
      <c r="A79" s="54" t="n"/>
    </row>
    <row r="80">
      <c r="A80" s="54" t="n"/>
    </row>
    <row r="81">
      <c r="A81" s="54" t="n"/>
    </row>
    <row r="82">
      <c r="A82" s="54" t="n"/>
    </row>
    <row r="83">
      <c r="A83" s="54" t="n"/>
    </row>
    <row r="84">
      <c r="A84" s="54" t="n"/>
    </row>
    <row r="85">
      <c r="A85" s="54" t="n"/>
    </row>
    <row r="86">
      <c r="A86" s="54" t="n"/>
    </row>
    <row r="87">
      <c r="A87" s="54" t="n"/>
    </row>
    <row r="88">
      <c r="A88" s="54" t="n"/>
    </row>
    <row r="89">
      <c r="A89" s="54" t="n"/>
    </row>
    <row r="90">
      <c r="A90" s="54" t="n"/>
    </row>
    <row r="91">
      <c r="A91" s="54" t="n"/>
    </row>
    <row r="92">
      <c r="A92" s="54" t="n"/>
    </row>
    <row r="93">
      <c r="A93" s="54" t="n"/>
    </row>
    <row r="94">
      <c r="A94" s="54" t="n"/>
    </row>
    <row r="95">
      <c r="A95" s="54" t="n"/>
    </row>
    <row r="96">
      <c r="A96" s="54" t="n"/>
    </row>
    <row r="97">
      <c r="A97" s="54" t="n"/>
    </row>
    <row r="98">
      <c r="A98" s="54" t="n"/>
    </row>
    <row r="99">
      <c r="A99" s="54" t="n"/>
    </row>
    <row r="100">
      <c r="A100" s="54" t="n"/>
    </row>
    <row r="101">
      <c r="A101" s="54" t="n"/>
    </row>
    <row r="102">
      <c r="A102" s="54" t="n"/>
    </row>
    <row r="103">
      <c r="A103" s="54" t="n"/>
    </row>
    <row r="104">
      <c r="A104" s="54" t="n"/>
    </row>
    <row r="105">
      <c r="A105" s="54" t="n"/>
    </row>
    <row r="106">
      <c r="A106" s="54" t="n"/>
    </row>
    <row r="107">
      <c r="A107" s="54" t="n"/>
    </row>
    <row r="108">
      <c r="A108" s="54" t="n"/>
    </row>
    <row r="109">
      <c r="A109" s="54" t="n"/>
    </row>
    <row r="110">
      <c r="A110" s="54" t="n"/>
    </row>
    <row r="111">
      <c r="A111" s="54" t="n"/>
    </row>
    <row r="112">
      <c r="A112" s="54" t="n"/>
    </row>
    <row r="113">
      <c r="A113" s="54" t="n"/>
    </row>
    <row r="114">
      <c r="A114" s="54" t="n"/>
    </row>
    <row r="115">
      <c r="A115" s="54" t="n"/>
    </row>
    <row r="116">
      <c r="A116" s="54" t="n"/>
    </row>
    <row r="117">
      <c r="A117" s="54" t="n"/>
    </row>
    <row r="118">
      <c r="A118" s="54" t="n"/>
    </row>
    <row r="119">
      <c r="A119" s="54" t="n"/>
    </row>
    <row r="120">
      <c r="A120" s="54" t="n"/>
    </row>
    <row r="121">
      <c r="A121" s="54" t="n"/>
    </row>
    <row r="122">
      <c r="A122" s="54" t="n"/>
    </row>
    <row r="123">
      <c r="A123" s="54" t="n"/>
    </row>
    <row r="124">
      <c r="A124" s="54" t="n"/>
    </row>
    <row r="125">
      <c r="A125" s="54" t="n"/>
    </row>
    <row r="126">
      <c r="A126" s="54" t="n"/>
    </row>
    <row r="127">
      <c r="A127" s="54" t="n"/>
    </row>
    <row r="128">
      <c r="A128" s="54" t="n"/>
    </row>
    <row r="129">
      <c r="A129" s="54" t="n"/>
    </row>
    <row r="130">
      <c r="A130" s="54" t="n"/>
    </row>
    <row r="131">
      <c r="A131" s="54" t="n"/>
    </row>
    <row r="132">
      <c r="A132" s="54" t="n"/>
    </row>
    <row r="133">
      <c r="A133" s="54" t="n"/>
    </row>
    <row r="134">
      <c r="A134" s="54" t="n"/>
    </row>
    <row r="135">
      <c r="A135" s="54" t="n"/>
    </row>
    <row r="136">
      <c r="A136" s="54" t="n"/>
    </row>
    <row r="137">
      <c r="A137" s="54" t="n"/>
    </row>
    <row r="138">
      <c r="A138" s="54" t="n"/>
    </row>
    <row r="139">
      <c r="A139" s="54" t="n"/>
    </row>
    <row r="140">
      <c r="A140" s="54" t="n"/>
    </row>
    <row r="141">
      <c r="A141" s="54" t="n"/>
    </row>
    <row r="142">
      <c r="A142" s="54" t="n"/>
    </row>
    <row r="143">
      <c r="A143" s="54" t="n"/>
    </row>
    <row r="144">
      <c r="A144" s="54" t="n"/>
    </row>
    <row r="145">
      <c r="A145" s="54" t="n"/>
    </row>
    <row r="146">
      <c r="A146" s="54" t="n"/>
    </row>
    <row r="147">
      <c r="A147" s="54" t="n"/>
    </row>
    <row r="148">
      <c r="A148" s="54" t="n"/>
    </row>
    <row r="149">
      <c r="A149" s="54" t="n"/>
    </row>
    <row r="150">
      <c r="A150" s="54" t="n"/>
    </row>
    <row r="151">
      <c r="A151" s="54" t="n"/>
    </row>
    <row r="152">
      <c r="A152" s="54" t="n"/>
    </row>
    <row r="153">
      <c r="A153" s="54" t="n"/>
    </row>
    <row r="154">
      <c r="A154" s="54" t="n"/>
    </row>
    <row r="155">
      <c r="A155" s="54" t="n"/>
    </row>
    <row r="156">
      <c r="A156" s="54" t="n"/>
    </row>
    <row r="157">
      <c r="A157" s="54" t="n"/>
    </row>
    <row r="158">
      <c r="A158" s="54" t="n"/>
    </row>
    <row r="159">
      <c r="A159" s="54" t="n"/>
    </row>
    <row r="160">
      <c r="A160" s="54" t="n"/>
    </row>
    <row r="161">
      <c r="A161" s="54" t="n"/>
    </row>
    <row r="162">
      <c r="A162" s="54" t="n"/>
    </row>
    <row r="163">
      <c r="A163" s="54" t="n"/>
    </row>
    <row r="164">
      <c r="A164" s="54" t="n"/>
    </row>
    <row r="165">
      <c r="A165" s="54" t="n"/>
    </row>
    <row r="166">
      <c r="A166" s="54" t="n"/>
    </row>
    <row r="167">
      <c r="A167" s="54" t="n"/>
    </row>
    <row r="168">
      <c r="A168" s="54" t="n"/>
    </row>
    <row r="169">
      <c r="A169" s="54" t="n"/>
    </row>
    <row r="170">
      <c r="A170" s="54" t="n"/>
    </row>
    <row r="171">
      <c r="A171" s="54" t="n"/>
    </row>
    <row r="172">
      <c r="A172" s="54" t="n"/>
    </row>
    <row r="173">
      <c r="A173" s="54" t="n"/>
    </row>
    <row r="174">
      <c r="A174" s="54" t="n"/>
    </row>
    <row r="175">
      <c r="A175" s="54" t="n"/>
    </row>
    <row r="176">
      <c r="A176" s="54" t="n"/>
    </row>
    <row r="177">
      <c r="A177" s="54" t="n"/>
    </row>
    <row r="178">
      <c r="A178" s="54" t="n"/>
    </row>
    <row r="179">
      <c r="A179" s="54" t="n"/>
    </row>
    <row r="180">
      <c r="A180" s="54" t="n"/>
    </row>
    <row r="181">
      <c r="A181" s="54" t="n"/>
    </row>
    <row r="182">
      <c r="A182" s="54" t="n"/>
    </row>
    <row r="183">
      <c r="A183" s="54" t="n"/>
    </row>
    <row r="184">
      <c r="A184" s="54" t="n"/>
    </row>
    <row r="185">
      <c r="A185" s="54" t="n"/>
    </row>
    <row r="186">
      <c r="A186" s="54" t="n"/>
    </row>
    <row r="187">
      <c r="A187" s="54" t="n"/>
    </row>
    <row r="188">
      <c r="A188" s="54" t="n"/>
    </row>
    <row r="189">
      <c r="A189" s="54" t="n"/>
    </row>
    <row r="190">
      <c r="A190" s="54" t="n"/>
    </row>
    <row r="191">
      <c r="A191" s="54" t="n"/>
    </row>
    <row r="192">
      <c r="A192" s="54" t="n"/>
    </row>
    <row r="193">
      <c r="A193" s="54" t="n"/>
    </row>
    <row r="194">
      <c r="A194" s="54" t="n"/>
    </row>
    <row r="195">
      <c r="A195" s="54" t="n"/>
    </row>
    <row r="196">
      <c r="A196" s="54" t="n"/>
    </row>
    <row r="197">
      <c r="A197" s="54" t="n"/>
    </row>
    <row r="198">
      <c r="A198" s="54" t="n"/>
    </row>
    <row r="199">
      <c r="A199" s="54" t="n"/>
    </row>
    <row r="200">
      <c r="A200" s="54" t="n"/>
    </row>
    <row r="201">
      <c r="A201" s="54" t="n"/>
    </row>
    <row r="202">
      <c r="A202" s="54" t="n"/>
    </row>
    <row r="203">
      <c r="A203" s="54" t="n"/>
    </row>
    <row r="204">
      <c r="A204" s="54" t="n"/>
    </row>
    <row r="205">
      <c r="A205" s="54" t="n"/>
    </row>
    <row r="206">
      <c r="A206" s="54" t="n"/>
    </row>
    <row r="207">
      <c r="A207" s="54" t="n"/>
    </row>
    <row r="208">
      <c r="A208" s="54" t="n"/>
    </row>
    <row r="209">
      <c r="A209" s="54" t="n"/>
    </row>
    <row r="210">
      <c r="A210" s="54" t="n"/>
    </row>
    <row r="211">
      <c r="A211" s="54" t="n"/>
    </row>
    <row r="212">
      <c r="A212" s="54" t="n"/>
    </row>
    <row r="213">
      <c r="A213" s="54" t="n"/>
    </row>
    <row r="214">
      <c r="A214" s="54" t="n"/>
    </row>
    <row r="215">
      <c r="A215" s="54" t="n"/>
    </row>
    <row r="216">
      <c r="A216" s="54" t="n"/>
    </row>
    <row r="217">
      <c r="A217" s="54" t="n"/>
    </row>
    <row r="218">
      <c r="A218" s="54" t="n"/>
    </row>
    <row r="219">
      <c r="A219" s="54" t="n"/>
    </row>
    <row r="220">
      <c r="A220" s="54" t="n"/>
    </row>
    <row r="221">
      <c r="A221" s="54" t="n"/>
    </row>
    <row r="222">
      <c r="A222" s="54" t="n"/>
    </row>
    <row r="223">
      <c r="A223" s="54" t="n"/>
    </row>
    <row r="224">
      <c r="A224" s="54" t="n"/>
    </row>
    <row r="225">
      <c r="A225" s="54" t="n"/>
    </row>
    <row r="226">
      <c r="A226" s="54" t="n"/>
    </row>
    <row r="227">
      <c r="A227" s="54" t="n"/>
    </row>
    <row r="228">
      <c r="A228" s="54" t="n"/>
    </row>
    <row r="229">
      <c r="A229" s="54" t="n"/>
    </row>
    <row r="230">
      <c r="A230" s="54" t="n"/>
    </row>
    <row r="231">
      <c r="A231" s="54" t="n"/>
    </row>
    <row r="232">
      <c r="A232" s="54" t="n"/>
    </row>
    <row r="233">
      <c r="A233" s="54" t="n"/>
    </row>
    <row r="234">
      <c r="A234" s="54" t="n"/>
    </row>
    <row r="235">
      <c r="A235" s="54" t="n"/>
    </row>
    <row r="236">
      <c r="A236" s="54" t="n"/>
    </row>
    <row r="237">
      <c r="A237" s="54" t="n"/>
    </row>
    <row r="238">
      <c r="A238" s="54" t="n"/>
    </row>
    <row r="239">
      <c r="A239" s="54" t="n"/>
    </row>
    <row r="240">
      <c r="A240" s="54" t="n"/>
    </row>
    <row r="241">
      <c r="A241" s="54" t="n"/>
    </row>
    <row r="242">
      <c r="A242" s="54" t="n"/>
    </row>
    <row r="243">
      <c r="A243" s="54" t="n"/>
    </row>
    <row r="244">
      <c r="A244" s="54" t="n"/>
    </row>
    <row r="245">
      <c r="A245" s="54" t="n"/>
    </row>
    <row r="246">
      <c r="A246" s="54" t="n"/>
    </row>
    <row r="247">
      <c r="A247" s="54" t="n"/>
    </row>
    <row r="248">
      <c r="A248" s="54" t="n"/>
    </row>
    <row r="249">
      <c r="A249" s="54" t="n"/>
    </row>
    <row r="250">
      <c r="A250" s="54" t="n"/>
    </row>
    <row r="251">
      <c r="A251" s="54" t="n"/>
    </row>
    <row r="252">
      <c r="A252" s="54" t="n"/>
    </row>
    <row r="253">
      <c r="A253" s="54" t="n"/>
    </row>
    <row r="254">
      <c r="A254" s="54" t="n"/>
    </row>
    <row r="255">
      <c r="A255" s="54" t="n"/>
    </row>
    <row r="256">
      <c r="A256" s="54" t="n"/>
    </row>
    <row r="257">
      <c r="A257" s="54" t="n"/>
    </row>
    <row r="258">
      <c r="A258" s="54" t="n"/>
    </row>
    <row r="259">
      <c r="A259" s="54" t="n"/>
    </row>
    <row r="260">
      <c r="A260" s="54" t="n"/>
    </row>
    <row r="261">
      <c r="A261" s="54" t="n"/>
    </row>
    <row r="262">
      <c r="A262" s="54" t="n"/>
    </row>
    <row r="263">
      <c r="A263" s="54" t="n"/>
    </row>
    <row r="264">
      <c r="A264" s="54" t="n"/>
    </row>
    <row r="265">
      <c r="A265" s="54" t="n"/>
    </row>
    <row r="266">
      <c r="A266" s="54" t="n"/>
    </row>
    <row r="267">
      <c r="A267" s="54" t="n"/>
    </row>
    <row r="268">
      <c r="A268" s="54" t="n"/>
    </row>
    <row r="269">
      <c r="A269" s="54" t="n"/>
    </row>
    <row r="270">
      <c r="A270" s="54" t="n"/>
    </row>
    <row r="271">
      <c r="A271" s="54" t="n"/>
    </row>
    <row r="272">
      <c r="A272" s="54" t="n"/>
    </row>
    <row r="273">
      <c r="A273" s="54" t="n"/>
    </row>
    <row r="274">
      <c r="A274" s="54" t="n"/>
    </row>
    <row r="275">
      <c r="A275" s="54" t="n"/>
    </row>
    <row r="276">
      <c r="A276" s="54" t="n"/>
    </row>
    <row r="277">
      <c r="A277" s="54" t="n"/>
    </row>
    <row r="278">
      <c r="A278" s="54" t="n"/>
    </row>
    <row r="279">
      <c r="A279" s="54" t="n"/>
    </row>
    <row r="280">
      <c r="A280" s="54" t="n"/>
    </row>
    <row r="281">
      <c r="A281" s="54" t="n"/>
    </row>
    <row r="282">
      <c r="A282" s="54" t="n"/>
    </row>
    <row r="283">
      <c r="A283" s="54" t="n"/>
    </row>
    <row r="284">
      <c r="A284" s="54" t="n"/>
    </row>
    <row r="285">
      <c r="A285" s="54" t="n"/>
    </row>
    <row r="286">
      <c r="A286" s="54" t="n"/>
    </row>
    <row r="287">
      <c r="A287" s="54" t="n"/>
    </row>
    <row r="288">
      <c r="A288" s="54" t="n"/>
    </row>
    <row r="289">
      <c r="A289" s="54" t="n"/>
    </row>
    <row r="290">
      <c r="A290" s="54" t="n"/>
    </row>
    <row r="291">
      <c r="A291" s="54" t="n"/>
    </row>
    <row r="292">
      <c r="A292" s="54" t="n"/>
    </row>
    <row r="293">
      <c r="A293" s="54" t="n"/>
    </row>
    <row r="294">
      <c r="A294" s="54" t="n"/>
    </row>
    <row r="295">
      <c r="A295" s="54" t="n"/>
    </row>
    <row r="296">
      <c r="A296" s="54" t="n"/>
    </row>
    <row r="297">
      <c r="A297" s="54" t="n"/>
    </row>
    <row r="298">
      <c r="A298" s="54" t="n"/>
    </row>
    <row r="299">
      <c r="A299" s="54" t="n"/>
    </row>
    <row r="300">
      <c r="A300" s="54" t="n"/>
    </row>
    <row r="301">
      <c r="A301" s="54" t="n"/>
    </row>
    <row r="302">
      <c r="A302" s="54" t="n"/>
    </row>
    <row r="303">
      <c r="A303" s="54" t="n"/>
    </row>
    <row r="304">
      <c r="A304" s="54" t="n"/>
    </row>
    <row r="305">
      <c r="A305" s="54" t="n"/>
    </row>
    <row r="306">
      <c r="A306" s="54" t="n"/>
    </row>
    <row r="307">
      <c r="A307" s="54" t="n"/>
    </row>
    <row r="308">
      <c r="A308" s="54" t="n"/>
    </row>
    <row r="309">
      <c r="A309" s="54" t="n"/>
    </row>
    <row r="310">
      <c r="A310" s="54" t="n"/>
    </row>
    <row r="311">
      <c r="A311" s="54" t="n"/>
    </row>
    <row r="312">
      <c r="A312" s="54" t="n"/>
    </row>
    <row r="313">
      <c r="A313" s="54" t="n"/>
    </row>
    <row r="314">
      <c r="A314" s="54" t="n"/>
    </row>
    <row r="315">
      <c r="A315" s="54" t="n"/>
    </row>
    <row r="316">
      <c r="A316" s="54" t="n"/>
    </row>
    <row r="317">
      <c r="A317" s="54" t="n"/>
    </row>
    <row r="318">
      <c r="A318" s="54" t="n"/>
    </row>
    <row r="319">
      <c r="A319" s="54" t="n"/>
    </row>
    <row r="320">
      <c r="A320" s="54" t="n"/>
    </row>
    <row r="321">
      <c r="A321" s="54" t="n"/>
    </row>
    <row r="322">
      <c r="A322" s="54" t="n"/>
    </row>
    <row r="323">
      <c r="A323" s="54" t="n"/>
    </row>
    <row r="324">
      <c r="A324" s="54" t="n"/>
    </row>
    <row r="325">
      <c r="A325" s="54" t="n"/>
    </row>
    <row r="326">
      <c r="A326" s="54" t="n"/>
    </row>
    <row r="327">
      <c r="A327" s="54" t="n"/>
    </row>
    <row r="328">
      <c r="A328" s="54" t="n"/>
    </row>
    <row r="329">
      <c r="A329" s="54" t="n"/>
    </row>
    <row r="330">
      <c r="A330" s="54" t="n"/>
    </row>
    <row r="331">
      <c r="A331" s="54" t="n"/>
    </row>
    <row r="332">
      <c r="A332" s="54" t="n"/>
    </row>
    <row r="333">
      <c r="A333" s="54" t="n"/>
    </row>
    <row r="334">
      <c r="A334" s="54" t="n"/>
    </row>
    <row r="335">
      <c r="A335" s="54" t="n"/>
    </row>
    <row r="336">
      <c r="A336" s="54" t="n"/>
    </row>
    <row r="337">
      <c r="A337" s="54" t="n"/>
    </row>
    <row r="338">
      <c r="A338" s="54" t="n"/>
    </row>
    <row r="339">
      <c r="A339" s="54" t="n"/>
    </row>
    <row r="340">
      <c r="A340" s="54" t="n"/>
    </row>
    <row r="341">
      <c r="A341" s="54" t="n"/>
    </row>
    <row r="342">
      <c r="A342" s="54" t="n"/>
    </row>
    <row r="343">
      <c r="A343" s="54" t="n"/>
    </row>
    <row r="344">
      <c r="A344" s="54" t="n"/>
    </row>
    <row r="345">
      <c r="A345" s="54" t="n"/>
    </row>
    <row r="346">
      <c r="A346" s="54" t="n"/>
    </row>
    <row r="347">
      <c r="A347" s="54" t="n"/>
    </row>
    <row r="348">
      <c r="A348" s="54" t="n"/>
    </row>
    <row r="349">
      <c r="A349" s="54" t="n"/>
    </row>
    <row r="350">
      <c r="A350" s="54" t="n"/>
    </row>
    <row r="351">
      <c r="A351" s="54" t="n"/>
    </row>
    <row r="352">
      <c r="A352" s="54" t="n"/>
    </row>
    <row r="353">
      <c r="A353" s="54" t="n"/>
    </row>
    <row r="354">
      <c r="A354" s="54" t="n"/>
    </row>
    <row r="355">
      <c r="A355" s="54" t="n"/>
    </row>
    <row r="356">
      <c r="A356" s="54" t="n"/>
    </row>
    <row r="357">
      <c r="A357" s="54" t="n"/>
    </row>
    <row r="358">
      <c r="A358" s="54" t="n"/>
    </row>
    <row r="359">
      <c r="A359" s="54" t="n"/>
    </row>
    <row r="360">
      <c r="A360" s="54" t="n"/>
    </row>
    <row r="361">
      <c r="A361" s="54" t="n"/>
    </row>
    <row r="362">
      <c r="A362" s="54" t="n"/>
    </row>
    <row r="363">
      <c r="A363" s="54" t="n"/>
    </row>
    <row r="364">
      <c r="A364" s="54" t="n"/>
    </row>
    <row r="365">
      <c r="A365" s="54" t="n"/>
    </row>
    <row r="366">
      <c r="A366" s="54" t="n"/>
    </row>
    <row r="367">
      <c r="A367" s="54" t="n"/>
    </row>
    <row r="368">
      <c r="A368" s="54" t="n"/>
    </row>
    <row r="369">
      <c r="A369" s="54" t="n"/>
    </row>
    <row r="370">
      <c r="A370" s="54" t="n"/>
    </row>
    <row r="371">
      <c r="A371" s="54" t="n"/>
    </row>
    <row r="372">
      <c r="A372" s="54" t="n"/>
    </row>
    <row r="373">
      <c r="A373" s="54" t="n"/>
    </row>
    <row r="374">
      <c r="A374" s="54" t="n"/>
    </row>
    <row r="375">
      <c r="A375" s="54" t="n"/>
    </row>
    <row r="376">
      <c r="A376" s="54" t="n"/>
    </row>
    <row r="377">
      <c r="A377" s="54" t="n"/>
    </row>
    <row r="378">
      <c r="A378" s="54" t="n"/>
    </row>
    <row r="379">
      <c r="A379" s="54" t="n"/>
    </row>
    <row r="380">
      <c r="A380" s="54" t="n"/>
    </row>
    <row r="381">
      <c r="A381" s="54" t="n"/>
    </row>
    <row r="382">
      <c r="A382" s="54" t="n"/>
    </row>
    <row r="383">
      <c r="A383" s="54" t="n"/>
    </row>
    <row r="384">
      <c r="A384" s="54" t="n"/>
    </row>
    <row r="385">
      <c r="A385" s="54" t="n"/>
    </row>
    <row r="386">
      <c r="A386" s="54" t="n"/>
    </row>
    <row r="387">
      <c r="A387" s="54" t="n"/>
    </row>
    <row r="388">
      <c r="A388" s="54" t="n"/>
    </row>
    <row r="389">
      <c r="A389" s="54" t="n"/>
    </row>
    <row r="390">
      <c r="A390" s="54" t="n"/>
    </row>
    <row r="391">
      <c r="A391" s="54" t="n"/>
    </row>
    <row r="392">
      <c r="A392" s="54" t="n"/>
    </row>
    <row r="393">
      <c r="A393" s="54" t="n"/>
    </row>
    <row r="394">
      <c r="A394" s="54" t="n"/>
    </row>
    <row r="395">
      <c r="A395" s="54" t="n"/>
    </row>
    <row r="396">
      <c r="A396" s="54" t="n"/>
    </row>
    <row r="397">
      <c r="A397" s="54" t="n"/>
    </row>
    <row r="398">
      <c r="A398" s="54" t="n"/>
    </row>
    <row r="399">
      <c r="A399" s="54" t="n"/>
    </row>
    <row r="400">
      <c r="A400" s="54" t="n"/>
    </row>
    <row r="401">
      <c r="A401" s="54" t="n"/>
    </row>
    <row r="402">
      <c r="A402" s="54" t="n"/>
    </row>
    <row r="403">
      <c r="A403" s="54" t="n"/>
    </row>
    <row r="404">
      <c r="A404" s="54" t="n"/>
    </row>
    <row r="405">
      <c r="A405" s="54" t="n"/>
    </row>
    <row r="406">
      <c r="A406" s="54" t="n"/>
    </row>
    <row r="407">
      <c r="A407" s="54" t="n"/>
    </row>
    <row r="408">
      <c r="A408" s="54" t="n"/>
    </row>
    <row r="409">
      <c r="A409" s="54" t="n"/>
    </row>
    <row r="410">
      <c r="A410" s="54" t="n"/>
    </row>
    <row r="411">
      <c r="A411" s="54" t="n"/>
    </row>
    <row r="412">
      <c r="A412" s="54" t="n"/>
    </row>
    <row r="413">
      <c r="A413" s="54" t="n"/>
    </row>
    <row r="414">
      <c r="A414" s="54" t="n"/>
    </row>
    <row r="415">
      <c r="A415" s="54" t="n"/>
    </row>
    <row r="416">
      <c r="A416" s="54" t="n"/>
    </row>
    <row r="417">
      <c r="A417" s="54" t="n"/>
    </row>
    <row r="418">
      <c r="A418" s="54" t="n"/>
    </row>
    <row r="419">
      <c r="A419" s="54" t="n"/>
    </row>
    <row r="420">
      <c r="A420" s="54" t="n"/>
    </row>
    <row r="421">
      <c r="A421" s="54" t="n"/>
    </row>
    <row r="422">
      <c r="A422" s="54" t="n"/>
    </row>
    <row r="423">
      <c r="A423" s="54" t="n"/>
    </row>
    <row r="424">
      <c r="A424" s="54" t="n"/>
    </row>
    <row r="425">
      <c r="A425" s="54" t="n"/>
    </row>
    <row r="426">
      <c r="A426" s="54" t="n"/>
    </row>
    <row r="427">
      <c r="A427" s="54" t="n"/>
    </row>
    <row r="428">
      <c r="A428" s="54" t="n"/>
    </row>
    <row r="429">
      <c r="A429" s="54" t="n"/>
    </row>
    <row r="430">
      <c r="A430" s="54" t="n"/>
    </row>
    <row r="431">
      <c r="A431" s="54" t="n"/>
    </row>
    <row r="432">
      <c r="A432" s="54" t="n"/>
    </row>
    <row r="433">
      <c r="A433" s="54" t="n"/>
    </row>
    <row r="434">
      <c r="A434" s="54" t="n"/>
    </row>
    <row r="435">
      <c r="A435" s="54" t="n"/>
    </row>
    <row r="436">
      <c r="A436" s="54" t="n"/>
    </row>
    <row r="437">
      <c r="A437" s="54" t="n"/>
    </row>
    <row r="438">
      <c r="A438" s="54" t="n"/>
    </row>
    <row r="439">
      <c r="A439" s="54" t="n"/>
    </row>
    <row r="440">
      <c r="A440" s="54" t="n"/>
    </row>
    <row r="441">
      <c r="A441" s="54" t="n"/>
    </row>
    <row r="442">
      <c r="A442" s="54" t="n"/>
    </row>
    <row r="443">
      <c r="A443" s="54" t="n"/>
    </row>
    <row r="444">
      <c r="A444" s="54" t="n"/>
    </row>
    <row r="445">
      <c r="A445" s="54" t="n"/>
    </row>
    <row r="446">
      <c r="A446" s="54" t="n"/>
    </row>
    <row r="447">
      <c r="A447" s="54" t="n"/>
    </row>
    <row r="448">
      <c r="A448" s="54" t="n"/>
    </row>
    <row r="449">
      <c r="A449" s="54" t="n"/>
    </row>
    <row r="450">
      <c r="A450" s="54" t="n"/>
    </row>
    <row r="451">
      <c r="A451" s="54" t="n"/>
    </row>
    <row r="452">
      <c r="A452" s="54" t="n"/>
    </row>
    <row r="453">
      <c r="A453" s="54" t="n"/>
    </row>
    <row r="454">
      <c r="A454" s="54" t="n"/>
    </row>
    <row r="455">
      <c r="A455" s="54" t="n"/>
    </row>
    <row r="456">
      <c r="A456" s="54" t="n"/>
    </row>
    <row r="457">
      <c r="A457" s="54" t="n"/>
    </row>
    <row r="458">
      <c r="A458" s="54" t="n"/>
    </row>
    <row r="459">
      <c r="A459" s="54" t="n"/>
    </row>
    <row r="460">
      <c r="A460" s="54" t="n"/>
    </row>
    <row r="461">
      <c r="A461" s="54" t="n"/>
    </row>
    <row r="462">
      <c r="A462" s="54" t="n"/>
    </row>
    <row r="463">
      <c r="A463" s="54" t="n"/>
    </row>
    <row r="464">
      <c r="A464" s="54" t="n"/>
    </row>
    <row r="465">
      <c r="A465" s="54" t="n"/>
    </row>
    <row r="466">
      <c r="A466" s="54" t="n"/>
    </row>
    <row r="467">
      <c r="A467" s="54" t="n"/>
    </row>
    <row r="468">
      <c r="A468" s="54" t="n"/>
    </row>
    <row r="469">
      <c r="A469" s="54" t="n"/>
    </row>
    <row r="470">
      <c r="A470" s="54" t="n"/>
    </row>
    <row r="471">
      <c r="A471" s="54" t="n"/>
    </row>
    <row r="472">
      <c r="A472" s="54" t="n"/>
    </row>
    <row r="473">
      <c r="A473" s="54" t="n"/>
    </row>
    <row r="474">
      <c r="A474" s="54" t="n"/>
    </row>
    <row r="475">
      <c r="A475" s="54" t="n"/>
    </row>
    <row r="476">
      <c r="A476" s="54" t="n"/>
    </row>
    <row r="477">
      <c r="A477" s="54" t="n"/>
    </row>
    <row r="478">
      <c r="A478" s="54" t="n"/>
    </row>
    <row r="479">
      <c r="A479" s="54" t="n"/>
    </row>
    <row r="480">
      <c r="A480" s="54" t="n"/>
    </row>
    <row r="481">
      <c r="A481" s="54" t="n"/>
    </row>
    <row r="482">
      <c r="A482" s="54" t="n"/>
    </row>
    <row r="483">
      <c r="A483" s="54" t="n"/>
    </row>
    <row r="484">
      <c r="A484" s="54" t="n"/>
    </row>
    <row r="485">
      <c r="A485" s="54" t="n"/>
    </row>
    <row r="486">
      <c r="A486" s="54" t="n"/>
    </row>
    <row r="487">
      <c r="A487" s="54" t="n"/>
    </row>
    <row r="488">
      <c r="A488" s="54" t="n"/>
    </row>
    <row r="489">
      <c r="A489" s="54" t="n"/>
    </row>
    <row r="490">
      <c r="A490" s="54" t="n"/>
    </row>
    <row r="491">
      <c r="A491" s="54" t="n"/>
    </row>
    <row r="492">
      <c r="A492" s="54" t="n"/>
    </row>
    <row r="493">
      <c r="A493" s="54" t="n"/>
    </row>
    <row r="494">
      <c r="A494" s="54" t="n"/>
    </row>
    <row r="495">
      <c r="A495" s="54" t="n"/>
    </row>
    <row r="496">
      <c r="A496" s="54" t="n"/>
    </row>
    <row r="497">
      <c r="A497" s="54" t="n"/>
    </row>
    <row r="498">
      <c r="A498" s="54" t="n"/>
    </row>
    <row r="499">
      <c r="A499" s="54" t="n"/>
    </row>
    <row r="500">
      <c r="A500" s="54" t="n"/>
    </row>
    <row r="501">
      <c r="A501" s="54" t="n"/>
    </row>
    <row r="502">
      <c r="A502" s="54" t="n"/>
    </row>
    <row r="503">
      <c r="A503" s="54" t="n"/>
    </row>
    <row r="504">
      <c r="A504" s="54" t="n"/>
    </row>
    <row r="505">
      <c r="A505" s="54" t="n"/>
    </row>
    <row r="506">
      <c r="A506" s="54" t="n"/>
    </row>
    <row r="507">
      <c r="A507" s="54" t="n"/>
    </row>
    <row r="508">
      <c r="A508" s="54" t="n"/>
    </row>
    <row r="509">
      <c r="A509" s="54" t="n"/>
    </row>
    <row r="510">
      <c r="A510" s="54" t="n"/>
    </row>
    <row r="511">
      <c r="A511" s="54" t="n"/>
    </row>
    <row r="512">
      <c r="A512" s="54" t="n"/>
    </row>
    <row r="513">
      <c r="A513" s="54" t="n"/>
    </row>
    <row r="514">
      <c r="A514" s="54" t="n"/>
    </row>
    <row r="515">
      <c r="A515" s="54" t="n"/>
    </row>
    <row r="516">
      <c r="A516" s="54" t="n"/>
    </row>
    <row r="517">
      <c r="A517" s="54" t="n"/>
    </row>
    <row r="518">
      <c r="A518" s="54" t="n"/>
    </row>
    <row r="519">
      <c r="A519" s="54" t="n"/>
    </row>
    <row r="520">
      <c r="A520" s="54" t="n"/>
    </row>
    <row r="521">
      <c r="A521" s="54" t="n"/>
    </row>
    <row r="522">
      <c r="A522" s="54" t="n"/>
    </row>
    <row r="523">
      <c r="A523" s="54" t="n"/>
    </row>
    <row r="524">
      <c r="A524" s="54" t="n"/>
    </row>
    <row r="525">
      <c r="A525" s="54" t="n"/>
    </row>
    <row r="526">
      <c r="A526" s="54" t="n"/>
    </row>
    <row r="527">
      <c r="A527" s="54" t="n"/>
    </row>
    <row r="528">
      <c r="A528" s="54" t="n"/>
    </row>
    <row r="529">
      <c r="A529" s="54" t="n"/>
    </row>
    <row r="530">
      <c r="A530" s="54" t="n"/>
    </row>
    <row r="531">
      <c r="A531" s="54" t="n"/>
    </row>
    <row r="532">
      <c r="A532" s="54" t="n"/>
    </row>
    <row r="533">
      <c r="A533" s="54" t="n"/>
    </row>
    <row r="534">
      <c r="A534" s="54" t="n"/>
    </row>
    <row r="535">
      <c r="A535" s="54" t="n"/>
    </row>
    <row r="536">
      <c r="A536" s="54" t="n"/>
    </row>
    <row r="537">
      <c r="A537" s="54" t="n"/>
    </row>
    <row r="538">
      <c r="A538" s="54" t="n"/>
    </row>
    <row r="539">
      <c r="A539" s="54" t="n"/>
    </row>
    <row r="540">
      <c r="A540" s="54" t="n"/>
    </row>
    <row r="541">
      <c r="A541" s="54" t="n"/>
    </row>
    <row r="542">
      <c r="A542" s="54" t="n"/>
    </row>
    <row r="543">
      <c r="A543" s="54" t="n"/>
    </row>
    <row r="544">
      <c r="A544" s="54" t="n"/>
    </row>
    <row r="545">
      <c r="A545" s="54" t="n"/>
    </row>
    <row r="546">
      <c r="A546" s="54" t="n"/>
    </row>
    <row r="547">
      <c r="A547" s="54" t="n"/>
    </row>
    <row r="548">
      <c r="A548" s="54" t="n"/>
    </row>
    <row r="549">
      <c r="A549" s="54" t="n"/>
    </row>
    <row r="550">
      <c r="A550" s="54" t="n"/>
    </row>
    <row r="551">
      <c r="A551" s="54" t="n"/>
    </row>
    <row r="552">
      <c r="A552" s="54" t="n"/>
    </row>
    <row r="553">
      <c r="A553" s="54" t="n"/>
    </row>
    <row r="554">
      <c r="A554" s="54" t="n"/>
    </row>
    <row r="555">
      <c r="A555" s="54" t="n"/>
    </row>
    <row r="556">
      <c r="A556" s="54" t="n"/>
    </row>
    <row r="557">
      <c r="A557" s="54" t="n"/>
    </row>
    <row r="558">
      <c r="A558" s="54" t="n"/>
    </row>
    <row r="559">
      <c r="A559" s="54" t="n"/>
    </row>
    <row r="560">
      <c r="A560" s="54" t="n"/>
    </row>
    <row r="561">
      <c r="A561" s="54" t="n"/>
    </row>
    <row r="562">
      <c r="A562" s="54" t="n"/>
    </row>
    <row r="563">
      <c r="A563" s="54" t="n"/>
    </row>
    <row r="564">
      <c r="A564" s="54" t="n"/>
    </row>
    <row r="565">
      <c r="A565" s="54" t="n"/>
    </row>
    <row r="566">
      <c r="A566" s="54" t="n"/>
    </row>
    <row r="567">
      <c r="A567" s="54" t="n"/>
    </row>
    <row r="568">
      <c r="A568" s="54" t="n"/>
    </row>
    <row r="569">
      <c r="A569" s="54" t="n"/>
    </row>
    <row r="570">
      <c r="A570" s="54" t="n"/>
    </row>
    <row r="571">
      <c r="A571" s="54" t="n"/>
    </row>
    <row r="572">
      <c r="A572" s="54" t="n"/>
    </row>
    <row r="573">
      <c r="A573" s="54" t="n"/>
    </row>
    <row r="574">
      <c r="A574" s="54" t="n"/>
    </row>
    <row r="575">
      <c r="A575" s="54" t="n"/>
    </row>
    <row r="576">
      <c r="A576" s="54" t="n"/>
    </row>
    <row r="577">
      <c r="A577" s="54" t="n"/>
    </row>
    <row r="578">
      <c r="A578" s="54" t="n"/>
    </row>
    <row r="579">
      <c r="A579" s="54" t="n"/>
    </row>
    <row r="580">
      <c r="A580" s="54" t="n"/>
    </row>
    <row r="581">
      <c r="A581" s="54" t="n"/>
    </row>
    <row r="582">
      <c r="A582" s="54" t="n"/>
    </row>
    <row r="583">
      <c r="A583" s="54" t="n"/>
    </row>
    <row r="584">
      <c r="A584" s="54" t="n"/>
    </row>
    <row r="585">
      <c r="A585" s="54" t="n"/>
    </row>
    <row r="586">
      <c r="A586" s="54" t="n"/>
    </row>
    <row r="587">
      <c r="A587" s="54" t="n"/>
    </row>
    <row r="588">
      <c r="A588" s="54" t="n"/>
    </row>
    <row r="589">
      <c r="A589" s="54" t="n"/>
    </row>
    <row r="590">
      <c r="A590" s="54" t="n"/>
    </row>
    <row r="591">
      <c r="A591" s="54" t="n"/>
    </row>
    <row r="592">
      <c r="A592" s="54" t="n"/>
    </row>
    <row r="593">
      <c r="A593" s="54" t="n"/>
    </row>
    <row r="594">
      <c r="A594" s="54" t="n"/>
    </row>
    <row r="595">
      <c r="A595" s="54" t="n"/>
    </row>
    <row r="596">
      <c r="A596" s="54" t="n"/>
    </row>
    <row r="597">
      <c r="A597" s="54" t="n"/>
    </row>
    <row r="598">
      <c r="A598" s="54" t="n"/>
    </row>
    <row r="599">
      <c r="A599" s="54" t="n"/>
    </row>
    <row r="600">
      <c r="A600" s="54" t="n"/>
    </row>
    <row r="601">
      <c r="A601" s="54" t="n"/>
    </row>
    <row r="602">
      <c r="A602" s="54" t="n"/>
    </row>
    <row r="603">
      <c r="A603" s="54" t="n"/>
    </row>
    <row r="604">
      <c r="A604" s="54" t="n"/>
    </row>
    <row r="605">
      <c r="A605" s="54" t="n"/>
    </row>
    <row r="606">
      <c r="A606" s="54" t="n"/>
    </row>
    <row r="607">
      <c r="A607" s="54" t="n"/>
    </row>
    <row r="608">
      <c r="A608" s="54" t="n"/>
    </row>
    <row r="609">
      <c r="A609" s="54" t="n"/>
    </row>
    <row r="610">
      <c r="A610" s="54" t="n"/>
    </row>
    <row r="611">
      <c r="A611" s="54" t="n"/>
    </row>
    <row r="612">
      <c r="A612" s="54" t="n"/>
    </row>
    <row r="613">
      <c r="A613" s="54" t="n"/>
    </row>
    <row r="614">
      <c r="A614" s="54" t="n"/>
    </row>
    <row r="615">
      <c r="A615" s="54" t="n"/>
    </row>
    <row r="616">
      <c r="A616" s="54" t="n"/>
    </row>
    <row r="617">
      <c r="A617" s="54" t="n"/>
    </row>
    <row r="618">
      <c r="A618" s="54" t="n"/>
    </row>
    <row r="619">
      <c r="A619" s="54" t="n"/>
    </row>
    <row r="620">
      <c r="A620" s="54" t="n"/>
    </row>
    <row r="621">
      <c r="A621" s="54" t="n"/>
    </row>
    <row r="622">
      <c r="A622" s="54" t="n"/>
    </row>
    <row r="623">
      <c r="A623" s="54" t="n"/>
    </row>
    <row r="624">
      <c r="A624" s="54" t="n"/>
    </row>
    <row r="625">
      <c r="A625" s="54" t="n"/>
    </row>
    <row r="626">
      <c r="A626" s="54" t="n"/>
    </row>
    <row r="627">
      <c r="A627" s="54" t="n"/>
    </row>
    <row r="628">
      <c r="A628" s="54" t="n"/>
    </row>
    <row r="629">
      <c r="A629" s="54" t="n"/>
    </row>
    <row r="630">
      <c r="A630" s="54" t="n"/>
    </row>
    <row r="631">
      <c r="A631" s="54" t="n"/>
    </row>
    <row r="632">
      <c r="A632" s="54" t="n"/>
    </row>
    <row r="633">
      <c r="A633" s="54" t="n"/>
    </row>
    <row r="634">
      <c r="A634" s="54" t="n"/>
    </row>
    <row r="635">
      <c r="A635" s="54" t="n"/>
    </row>
    <row r="636">
      <c r="A636" s="54" t="n"/>
    </row>
    <row r="637">
      <c r="A637" s="54" t="n"/>
    </row>
    <row r="638">
      <c r="A638" s="54" t="n"/>
    </row>
    <row r="639">
      <c r="A639" s="54" t="n"/>
    </row>
    <row r="640">
      <c r="A640" s="54" t="n"/>
    </row>
    <row r="641">
      <c r="A641" s="54" t="n"/>
    </row>
    <row r="642">
      <c r="A642" s="54" t="n"/>
    </row>
    <row r="643">
      <c r="A643" s="54" t="n"/>
    </row>
    <row r="644">
      <c r="A644" s="54" t="n"/>
    </row>
    <row r="645">
      <c r="A645" s="54" t="n"/>
    </row>
    <row r="646">
      <c r="A646" s="54" t="n"/>
    </row>
    <row r="647">
      <c r="A647" s="54" t="n"/>
    </row>
    <row r="648">
      <c r="A648" s="54" t="n"/>
    </row>
    <row r="649">
      <c r="A649" s="54" t="n"/>
    </row>
    <row r="650">
      <c r="A650" s="54" t="n"/>
    </row>
    <row r="651">
      <c r="A651" s="54" t="n"/>
    </row>
    <row r="652">
      <c r="A652" s="54" t="n"/>
    </row>
    <row r="653">
      <c r="A653" s="54" t="n"/>
    </row>
    <row r="654">
      <c r="A654" s="54" t="n"/>
    </row>
    <row r="655">
      <c r="A655" s="54" t="n"/>
    </row>
    <row r="656">
      <c r="A656" s="54" t="n"/>
    </row>
    <row r="657">
      <c r="A657" s="54" t="n"/>
    </row>
    <row r="658">
      <c r="A658" s="54" t="n"/>
    </row>
    <row r="659">
      <c r="A659" s="54" t="n"/>
    </row>
    <row r="660">
      <c r="A660" s="54" t="n"/>
    </row>
    <row r="661">
      <c r="A661" s="54" t="n"/>
    </row>
    <row r="662">
      <c r="A662" s="54" t="n"/>
    </row>
    <row r="663">
      <c r="A663" s="54" t="n"/>
    </row>
    <row r="664">
      <c r="A664" s="54" t="n"/>
    </row>
    <row r="665">
      <c r="A665" s="54" t="n"/>
    </row>
    <row r="666">
      <c r="A666" s="54" t="n"/>
    </row>
    <row r="667">
      <c r="A667" s="54" t="n"/>
    </row>
    <row r="668">
      <c r="A668" s="54" t="n"/>
    </row>
    <row r="669">
      <c r="A669" s="54" t="n"/>
    </row>
    <row r="670">
      <c r="A670" s="54" t="n"/>
    </row>
    <row r="671">
      <c r="A671" s="54" t="n"/>
    </row>
    <row r="672">
      <c r="A672" s="54" t="n"/>
    </row>
    <row r="673">
      <c r="A673" s="54" t="n"/>
    </row>
    <row r="674">
      <c r="A674" s="54" t="n"/>
    </row>
    <row r="675">
      <c r="A675" s="54" t="n"/>
    </row>
    <row r="676">
      <c r="A676" s="54" t="n"/>
    </row>
    <row r="677">
      <c r="A677" s="54" t="n"/>
    </row>
    <row r="678">
      <c r="A678" s="54" t="n"/>
    </row>
    <row r="679">
      <c r="A679" s="54" t="n"/>
    </row>
    <row r="680">
      <c r="A680" s="54" t="n"/>
    </row>
    <row r="681">
      <c r="A681" s="54" t="n"/>
    </row>
    <row r="682">
      <c r="A682" s="54" t="n"/>
    </row>
    <row r="683">
      <c r="A683" s="54" t="n"/>
    </row>
    <row r="684">
      <c r="A684" s="54" t="n"/>
    </row>
    <row r="685">
      <c r="A685" s="54" t="n"/>
    </row>
    <row r="686">
      <c r="A686" s="54" t="n"/>
    </row>
    <row r="687">
      <c r="A687" s="54" t="n"/>
    </row>
    <row r="688">
      <c r="A688" s="54" t="n"/>
    </row>
    <row r="689">
      <c r="A689" s="54" t="n"/>
    </row>
    <row r="690">
      <c r="A690" s="54" t="n"/>
    </row>
    <row r="691">
      <c r="A691" s="54" t="n"/>
    </row>
    <row r="692">
      <c r="A692" s="54" t="n"/>
    </row>
    <row r="693">
      <c r="A693" s="54" t="n"/>
    </row>
    <row r="694">
      <c r="A694" s="54" t="n"/>
    </row>
    <row r="695">
      <c r="A695" s="54" t="n"/>
    </row>
    <row r="696">
      <c r="A696" s="54" t="n"/>
    </row>
    <row r="697">
      <c r="A697" s="54" t="n"/>
    </row>
    <row r="698">
      <c r="A698" s="54" t="n"/>
    </row>
    <row r="699">
      <c r="A699" s="54" t="n"/>
    </row>
    <row r="700">
      <c r="A700" s="54" t="n"/>
    </row>
    <row r="701">
      <c r="A701" s="54" t="n"/>
    </row>
    <row r="702">
      <c r="A702" s="54" t="n"/>
    </row>
    <row r="703">
      <c r="A703" s="54" t="n"/>
    </row>
    <row r="704">
      <c r="A704" s="54" t="n"/>
    </row>
    <row r="705">
      <c r="A705" s="54" t="n"/>
    </row>
    <row r="706">
      <c r="A706" s="54" t="n"/>
    </row>
    <row r="707">
      <c r="A707" s="54" t="n"/>
    </row>
    <row r="708">
      <c r="A708" s="54" t="n"/>
    </row>
    <row r="709">
      <c r="A709" s="54" t="n"/>
    </row>
    <row r="710">
      <c r="A710" s="54" t="n"/>
    </row>
    <row r="711">
      <c r="A711" s="54" t="n"/>
    </row>
    <row r="712">
      <c r="A712" s="54" t="n"/>
    </row>
    <row r="713">
      <c r="A713" s="54" t="n"/>
    </row>
    <row r="714">
      <c r="A714" s="54" t="n"/>
    </row>
    <row r="715">
      <c r="A715" s="54" t="n"/>
    </row>
    <row r="716">
      <c r="A716" s="54" t="n"/>
    </row>
    <row r="717">
      <c r="A717" s="54" t="n"/>
    </row>
    <row r="718">
      <c r="A718" s="54" t="n"/>
    </row>
    <row r="719">
      <c r="A719" s="54" t="n"/>
    </row>
    <row r="720">
      <c r="A720" s="54" t="n"/>
    </row>
    <row r="721">
      <c r="A721" s="54" t="n"/>
    </row>
    <row r="722">
      <c r="A722" s="54" t="n"/>
    </row>
    <row r="723">
      <c r="A723" s="54" t="n"/>
    </row>
    <row r="724">
      <c r="A724" s="54" t="n"/>
    </row>
    <row r="725">
      <c r="A725" s="54" t="n"/>
    </row>
    <row r="726">
      <c r="A726" s="54" t="n"/>
    </row>
    <row r="727">
      <c r="A727" s="54" t="n"/>
    </row>
    <row r="728">
      <c r="A728" s="54" t="n"/>
    </row>
    <row r="729">
      <c r="A729" s="54" t="n"/>
    </row>
    <row r="730">
      <c r="A730" s="54" t="n"/>
    </row>
    <row r="731">
      <c r="A731" s="54" t="n"/>
    </row>
    <row r="732">
      <c r="A732" s="54" t="n"/>
    </row>
    <row r="733">
      <c r="A733" s="54" t="n"/>
    </row>
    <row r="734">
      <c r="A734" s="54" t="n"/>
    </row>
    <row r="735">
      <c r="A735" s="54" t="n"/>
    </row>
    <row r="736">
      <c r="A736" s="54" t="n"/>
    </row>
    <row r="737">
      <c r="A737" s="54" t="n"/>
    </row>
    <row r="738">
      <c r="A738" s="54" t="n"/>
    </row>
    <row r="739">
      <c r="A739" s="54" t="n"/>
    </row>
    <row r="740">
      <c r="A740" s="54" t="n"/>
    </row>
    <row r="741">
      <c r="A741" s="54" t="n"/>
    </row>
    <row r="742">
      <c r="A742" s="54" t="n"/>
    </row>
    <row r="743">
      <c r="A743" s="54" t="n"/>
    </row>
    <row r="744">
      <c r="A744" s="54" t="n"/>
    </row>
    <row r="745">
      <c r="A745" s="54" t="n"/>
    </row>
    <row r="746">
      <c r="A746" s="54" t="n"/>
    </row>
    <row r="747">
      <c r="A747" s="54" t="n"/>
    </row>
    <row r="748">
      <c r="A748" s="54" t="n"/>
    </row>
    <row r="749">
      <c r="A749" s="54" t="n"/>
    </row>
    <row r="750">
      <c r="A750" s="54" t="n"/>
    </row>
    <row r="751">
      <c r="A751" s="54" t="n"/>
    </row>
    <row r="752">
      <c r="A752" s="54" t="n"/>
    </row>
    <row r="753">
      <c r="A753" s="54" t="n"/>
    </row>
    <row r="754">
      <c r="A754" s="54" t="n"/>
    </row>
    <row r="755">
      <c r="A755" s="54" t="n"/>
    </row>
    <row r="756">
      <c r="A756" s="54" t="n"/>
    </row>
    <row r="757">
      <c r="A757" s="54" t="n"/>
    </row>
    <row r="758">
      <c r="A758" s="54" t="n"/>
    </row>
    <row r="759">
      <c r="A759" s="54" t="n"/>
    </row>
    <row r="760">
      <c r="A760" s="54" t="n"/>
    </row>
    <row r="761">
      <c r="A761" s="54" t="n"/>
    </row>
    <row r="762">
      <c r="A762" s="54" t="n"/>
    </row>
    <row r="763">
      <c r="A763" s="54" t="n"/>
    </row>
    <row r="764">
      <c r="A764" s="54" t="n"/>
    </row>
    <row r="765">
      <c r="A765" s="54" t="n"/>
    </row>
    <row r="766">
      <c r="A766" s="54" t="n"/>
    </row>
    <row r="767">
      <c r="A767" s="54" t="n"/>
    </row>
    <row r="768">
      <c r="A768" s="54" t="n"/>
    </row>
    <row r="769">
      <c r="A769" s="54" t="n"/>
    </row>
    <row r="770">
      <c r="A770" s="54" t="n"/>
    </row>
    <row r="771">
      <c r="A771" s="54" t="n"/>
    </row>
    <row r="772">
      <c r="A772" s="54" t="n"/>
    </row>
    <row r="773">
      <c r="A773" s="54" t="n"/>
    </row>
    <row r="774">
      <c r="A774" s="54" t="n"/>
    </row>
    <row r="775">
      <c r="A775" s="54" t="n"/>
    </row>
    <row r="776">
      <c r="A776" s="54" t="n"/>
    </row>
    <row r="777">
      <c r="A777" s="54" t="n"/>
    </row>
    <row r="778">
      <c r="A778" s="54" t="n"/>
    </row>
    <row r="779">
      <c r="A779" s="54" t="n"/>
    </row>
    <row r="780">
      <c r="A780" s="54" t="n"/>
    </row>
    <row r="781">
      <c r="A781" s="54" t="n"/>
    </row>
    <row r="782">
      <c r="A782" s="54" t="n"/>
    </row>
    <row r="783">
      <c r="A783" s="54" t="n"/>
    </row>
    <row r="784">
      <c r="A784" s="54" t="n"/>
    </row>
    <row r="785">
      <c r="A785" s="54" t="n"/>
    </row>
    <row r="786">
      <c r="A786" s="54" t="n"/>
    </row>
    <row r="787">
      <c r="A787" s="54" t="n"/>
    </row>
    <row r="788">
      <c r="A788" s="54" t="n"/>
    </row>
    <row r="789">
      <c r="A789" s="54" t="n"/>
    </row>
    <row r="790">
      <c r="A790" s="54" t="n"/>
    </row>
    <row r="791">
      <c r="A791" s="54" t="n"/>
    </row>
    <row r="792">
      <c r="A792" s="54" t="n"/>
    </row>
    <row r="793">
      <c r="A793" s="54" t="n"/>
    </row>
    <row r="794">
      <c r="A794" s="54" t="n"/>
    </row>
    <row r="795">
      <c r="A795" s="54" t="n"/>
    </row>
    <row r="796">
      <c r="A796" s="54" t="n"/>
    </row>
    <row r="797">
      <c r="A797" s="54" t="n"/>
    </row>
    <row r="798">
      <c r="A798" s="54" t="n"/>
    </row>
    <row r="799">
      <c r="A799" s="54" t="n"/>
    </row>
    <row r="800">
      <c r="A800" s="54" t="n"/>
    </row>
    <row r="801">
      <c r="A801" s="54" t="n"/>
    </row>
    <row r="802">
      <c r="A802" s="54" t="n"/>
    </row>
    <row r="803">
      <c r="A803" s="54" t="n"/>
    </row>
    <row r="804">
      <c r="A804" s="54" t="n"/>
    </row>
    <row r="805">
      <c r="A805" s="54" t="n"/>
    </row>
    <row r="806">
      <c r="A806" s="54" t="n"/>
    </row>
    <row r="807">
      <c r="A807" s="54" t="n"/>
    </row>
    <row r="808">
      <c r="A808" s="54" t="n"/>
    </row>
    <row r="809">
      <c r="A809" s="54" t="n"/>
    </row>
    <row r="810">
      <c r="A810" s="54" t="n"/>
    </row>
    <row r="811">
      <c r="A811" s="54" t="n"/>
    </row>
    <row r="812">
      <c r="A812" s="54" t="n"/>
    </row>
    <row r="813">
      <c r="A813" s="54" t="n"/>
    </row>
    <row r="814">
      <c r="A814" s="54" t="n"/>
    </row>
    <row r="815">
      <c r="A815" s="54" t="n"/>
    </row>
    <row r="816">
      <c r="A816" s="54" t="n"/>
    </row>
    <row r="817">
      <c r="A817" s="54" t="n"/>
    </row>
    <row r="818">
      <c r="A818" s="54" t="n"/>
    </row>
    <row r="819">
      <c r="A819" s="54" t="n"/>
    </row>
    <row r="820">
      <c r="A820" s="54" t="n"/>
    </row>
    <row r="821">
      <c r="A821" s="54" t="n"/>
    </row>
    <row r="822">
      <c r="A822" s="54" t="n"/>
    </row>
    <row r="823">
      <c r="A823" s="54" t="n"/>
    </row>
    <row r="824">
      <c r="A824" s="54" t="n"/>
    </row>
    <row r="825">
      <c r="A825" s="54" t="n"/>
    </row>
    <row r="826">
      <c r="A826" s="54" t="n"/>
    </row>
    <row r="827">
      <c r="A827" s="54" t="n"/>
    </row>
    <row r="828">
      <c r="A828" s="54" t="n"/>
    </row>
    <row r="829">
      <c r="A829" s="54" t="n"/>
    </row>
    <row r="830">
      <c r="A830" s="54" t="n"/>
    </row>
    <row r="831">
      <c r="A831" s="54" t="n"/>
    </row>
    <row r="832">
      <c r="A832" s="54" t="n"/>
    </row>
    <row r="833">
      <c r="A833" s="54" t="n"/>
    </row>
    <row r="834">
      <c r="A834" s="54" t="n"/>
    </row>
    <row r="835">
      <c r="A835" s="54" t="n"/>
    </row>
    <row r="836">
      <c r="A836" s="54" t="n"/>
    </row>
    <row r="837">
      <c r="A837" s="54" t="n"/>
    </row>
    <row r="838">
      <c r="A838" s="54" t="n"/>
    </row>
    <row r="839">
      <c r="A839" s="54" t="n"/>
    </row>
    <row r="840">
      <c r="A840" s="54" t="n"/>
    </row>
    <row r="841">
      <c r="A841" s="54" t="n"/>
    </row>
    <row r="842">
      <c r="A842" s="54" t="n"/>
    </row>
    <row r="843">
      <c r="A843" s="54" t="n"/>
    </row>
    <row r="844">
      <c r="A844" s="54" t="n"/>
    </row>
    <row r="845">
      <c r="A845" s="54" t="n"/>
    </row>
    <row r="846">
      <c r="A846" s="54" t="n"/>
    </row>
    <row r="847">
      <c r="A847" s="54" t="n"/>
    </row>
    <row r="848">
      <c r="A848" s="54" t="n"/>
    </row>
    <row r="849">
      <c r="A849" s="54" t="n"/>
    </row>
    <row r="850">
      <c r="A850" s="54" t="n"/>
    </row>
    <row r="851">
      <c r="A851" s="54" t="n"/>
    </row>
    <row r="852">
      <c r="A852" s="54" t="n"/>
    </row>
    <row r="853">
      <c r="A853" s="54" t="n"/>
    </row>
    <row r="854">
      <c r="A854" s="54" t="n"/>
    </row>
    <row r="855">
      <c r="A855" s="54" t="n"/>
    </row>
    <row r="856">
      <c r="A856" s="54" t="n"/>
    </row>
    <row r="857">
      <c r="A857" s="54" t="n"/>
    </row>
    <row r="858">
      <c r="A858" s="54" t="n"/>
    </row>
    <row r="859">
      <c r="A859" s="54" t="n"/>
    </row>
    <row r="860">
      <c r="A860" s="54" t="n"/>
    </row>
    <row r="861">
      <c r="A861" s="54" t="n"/>
    </row>
    <row r="862">
      <c r="A862" s="54" t="n"/>
    </row>
    <row r="863">
      <c r="A863" s="54" t="n"/>
    </row>
    <row r="864">
      <c r="A864" s="54" t="n"/>
    </row>
    <row r="865">
      <c r="A865" s="54" t="n"/>
    </row>
    <row r="866">
      <c r="A866" s="54" t="n"/>
    </row>
    <row r="867">
      <c r="A867" s="54" t="n"/>
    </row>
    <row r="868">
      <c r="A868" s="54" t="n"/>
    </row>
    <row r="869">
      <c r="A869" s="54" t="n"/>
    </row>
    <row r="870">
      <c r="A870" s="54" t="n"/>
    </row>
    <row r="871">
      <c r="A871" s="54" t="n"/>
    </row>
    <row r="872">
      <c r="A872" s="54" t="n"/>
    </row>
    <row r="873">
      <c r="A873" s="54" t="n"/>
    </row>
    <row r="874">
      <c r="A874" s="54" t="n"/>
    </row>
    <row r="875">
      <c r="A875" s="54" t="n"/>
    </row>
    <row r="876">
      <c r="A876" s="54" t="n"/>
    </row>
    <row r="877">
      <c r="A877" s="54" t="n"/>
    </row>
    <row r="878">
      <c r="A878" s="54" t="n"/>
    </row>
    <row r="879">
      <c r="A879" s="54" t="n"/>
    </row>
    <row r="880">
      <c r="A880" s="54" t="n"/>
    </row>
    <row r="881">
      <c r="A881" s="54" t="n"/>
    </row>
    <row r="882">
      <c r="A882" s="54" t="n"/>
    </row>
    <row r="883">
      <c r="A883" s="54" t="n"/>
    </row>
    <row r="884">
      <c r="A884" s="54" t="n"/>
    </row>
    <row r="885">
      <c r="A885" s="54" t="n"/>
    </row>
    <row r="886">
      <c r="A886" s="54" t="n"/>
    </row>
    <row r="887">
      <c r="A887" s="54" t="n"/>
    </row>
    <row r="888">
      <c r="A888" s="54" t="n"/>
    </row>
    <row r="889">
      <c r="A889" s="54" t="n"/>
    </row>
    <row r="890">
      <c r="A890" s="54" t="n"/>
    </row>
    <row r="891">
      <c r="A891" s="54" t="n"/>
    </row>
    <row r="892">
      <c r="A892" s="54" t="n"/>
    </row>
    <row r="893">
      <c r="A893" s="54" t="n"/>
    </row>
    <row r="894">
      <c r="A894" s="54" t="n"/>
    </row>
    <row r="895">
      <c r="A895" s="54" t="n"/>
    </row>
    <row r="896">
      <c r="A896" s="54" t="n"/>
    </row>
    <row r="897">
      <c r="A897" s="54" t="n"/>
    </row>
    <row r="898">
      <c r="A898" s="54" t="n"/>
    </row>
    <row r="899">
      <c r="A899" s="54" t="n"/>
    </row>
    <row r="900">
      <c r="A900" s="54" t="n"/>
    </row>
    <row r="901">
      <c r="A901" s="54" t="n"/>
    </row>
    <row r="902">
      <c r="A902" s="54" t="n"/>
    </row>
    <row r="903">
      <c r="A903" s="54" t="n"/>
    </row>
    <row r="904">
      <c r="A904" s="54" t="n"/>
    </row>
    <row r="905">
      <c r="A905" s="54" t="n"/>
    </row>
    <row r="906">
      <c r="A906" s="54" t="n"/>
    </row>
    <row r="907">
      <c r="A907" s="54" t="n"/>
    </row>
    <row r="908">
      <c r="A908" s="54" t="n"/>
    </row>
    <row r="909">
      <c r="A909" s="54" t="n"/>
    </row>
    <row r="910">
      <c r="A910" s="54" t="n"/>
    </row>
    <row r="911">
      <c r="A911" s="54" t="n"/>
    </row>
    <row r="912">
      <c r="A912" s="54" t="n"/>
    </row>
    <row r="913">
      <c r="A913" s="54" t="n"/>
    </row>
    <row r="914">
      <c r="A914" s="54" t="n"/>
    </row>
    <row r="915">
      <c r="A915" s="54" t="n"/>
    </row>
    <row r="916">
      <c r="A916" s="54" t="n"/>
    </row>
    <row r="917">
      <c r="A917" s="54" t="n"/>
    </row>
    <row r="918">
      <c r="A918" s="54" t="n"/>
    </row>
    <row r="919">
      <c r="A919" s="54" t="n"/>
    </row>
    <row r="920">
      <c r="A920" s="54" t="n"/>
    </row>
    <row r="921">
      <c r="A921" s="54" t="n"/>
    </row>
    <row r="922">
      <c r="A922" s="54" t="n"/>
    </row>
    <row r="923">
      <c r="A923" s="54" t="n"/>
    </row>
    <row r="924">
      <c r="A924" s="54" t="n"/>
    </row>
    <row r="925">
      <c r="A925" s="54" t="n"/>
    </row>
    <row r="926">
      <c r="A926" s="54" t="n"/>
    </row>
    <row r="927">
      <c r="A927" s="54" t="n"/>
    </row>
    <row r="928">
      <c r="A928" s="54" t="n"/>
    </row>
    <row r="929">
      <c r="A929" s="54" t="n"/>
    </row>
    <row r="930">
      <c r="A930" s="54" t="n"/>
    </row>
    <row r="931">
      <c r="A931" s="54" t="n"/>
    </row>
    <row r="932">
      <c r="A932" s="54" t="n"/>
    </row>
    <row r="933">
      <c r="A933" s="54" t="n"/>
    </row>
    <row r="934">
      <c r="A934" s="54" t="n"/>
    </row>
    <row r="935">
      <c r="A935" s="54" t="n"/>
    </row>
    <row r="936">
      <c r="A936" s="54" t="n"/>
    </row>
    <row r="937">
      <c r="A937" s="54" t="n"/>
    </row>
    <row r="938">
      <c r="A938" s="54" t="n"/>
    </row>
    <row r="939">
      <c r="A939" s="54" t="n"/>
    </row>
    <row r="940">
      <c r="A940" s="54" t="n"/>
    </row>
    <row r="941">
      <c r="A941" s="54" t="n"/>
    </row>
    <row r="942">
      <c r="A942" s="54" t="n"/>
    </row>
    <row r="943">
      <c r="A943" s="54" t="n"/>
    </row>
    <row r="944">
      <c r="A944" s="54" t="n"/>
    </row>
    <row r="945">
      <c r="A945" s="54" t="n"/>
    </row>
    <row r="946">
      <c r="A946" s="54" t="n"/>
    </row>
    <row r="947">
      <c r="A947" s="54" t="n"/>
    </row>
    <row r="948">
      <c r="A948" s="54" t="n"/>
    </row>
    <row r="949">
      <c r="A949" s="54" t="n"/>
    </row>
    <row r="950">
      <c r="A950" s="54" t="n"/>
    </row>
    <row r="951">
      <c r="A951" s="54" t="n"/>
    </row>
    <row r="952">
      <c r="A952" s="54" t="n"/>
    </row>
    <row r="953">
      <c r="A953" s="54" t="n"/>
    </row>
    <row r="954">
      <c r="A954" s="54" t="n"/>
    </row>
    <row r="955">
      <c r="A955" s="54" t="n"/>
    </row>
    <row r="956">
      <c r="A956" s="54" t="n"/>
    </row>
    <row r="957">
      <c r="A957" s="54" t="n"/>
    </row>
    <row r="958">
      <c r="A958" s="54" t="n"/>
    </row>
    <row r="959">
      <c r="A959" s="54" t="n"/>
    </row>
    <row r="960">
      <c r="A960" s="54" t="n"/>
    </row>
    <row r="961">
      <c r="A961" s="54" t="n"/>
    </row>
    <row r="962">
      <c r="A962" s="54" t="n"/>
    </row>
    <row r="963">
      <c r="A963" s="54" t="n"/>
    </row>
    <row r="964">
      <c r="A964" s="54" t="n"/>
    </row>
    <row r="965">
      <c r="A965" s="54" t="n"/>
    </row>
    <row r="966">
      <c r="A966" s="54" t="n"/>
    </row>
    <row r="967">
      <c r="A967" s="54" t="n"/>
    </row>
    <row r="968">
      <c r="A968" s="54" t="n"/>
    </row>
    <row r="969">
      <c r="A969" s="54" t="n"/>
    </row>
    <row r="970">
      <c r="A970" s="54" t="n"/>
    </row>
    <row r="971">
      <c r="A971" s="54" t="n"/>
    </row>
    <row r="972">
      <c r="A972" s="54" t="n"/>
    </row>
    <row r="973">
      <c r="A973" s="54" t="n"/>
    </row>
    <row r="974">
      <c r="A974" s="54" t="n"/>
    </row>
    <row r="975">
      <c r="A975" s="54" t="n"/>
    </row>
    <row r="976">
      <c r="A976" s="54" t="n"/>
    </row>
    <row r="977">
      <c r="A977" s="54" t="n"/>
    </row>
    <row r="978">
      <c r="A978" s="54" t="n"/>
    </row>
    <row r="979">
      <c r="A979" s="54" t="n"/>
    </row>
    <row r="980">
      <c r="A980" s="54" t="n"/>
    </row>
    <row r="981">
      <c r="A981" s="54" t="n"/>
    </row>
    <row r="982">
      <c r="A982" s="54" t="n"/>
    </row>
    <row r="983">
      <c r="A983" s="54" t="n"/>
    </row>
    <row r="984">
      <c r="A984" s="54" t="n"/>
    </row>
    <row r="985">
      <c r="A985" s="54" t="n"/>
    </row>
    <row r="986">
      <c r="A986" s="54" t="n"/>
    </row>
    <row r="987">
      <c r="A987" s="54" t="n"/>
    </row>
    <row r="988">
      <c r="A988" s="54" t="n"/>
    </row>
    <row r="989">
      <c r="A989" s="54" t="n"/>
    </row>
    <row r="990">
      <c r="A990" s="54" t="n"/>
    </row>
    <row r="991">
      <c r="A991" s="54" t="n"/>
    </row>
    <row r="992">
      <c r="A992" s="54" t="n"/>
    </row>
    <row r="993">
      <c r="A993" s="54" t="n"/>
    </row>
    <row r="994">
      <c r="A994" s="54" t="n"/>
    </row>
    <row r="995">
      <c r="A995" s="54" t="n"/>
    </row>
    <row r="996">
      <c r="A996" s="54" t="n"/>
    </row>
    <row r="997">
      <c r="A997" s="54" t="n"/>
    </row>
    <row r="998">
      <c r="A998" s="54" t="n"/>
    </row>
    <row r="999">
      <c r="A999" s="54" t="n"/>
    </row>
    <row r="1000">
      <c r="A1000" s="54" t="n"/>
    </row>
    <row r="1001">
      <c r="A1001" s="54" t="n"/>
    </row>
    <row r="1002">
      <c r="A1002" s="54" t="n"/>
    </row>
    <row r="1003">
      <c r="A1003" s="54" t="n"/>
    </row>
  </sheetData>
  <mergeCells count="1">
    <mergeCell ref="A1:F2"/>
  </mergeCell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2.xml><?xml version="1.0" encoding="utf-8"?>
<worksheet xmlns="http://schemas.openxmlformats.org/spreadsheetml/2006/main">
  <sheetPr codeName="Sayfa22">
    <outlinePr summaryBelow="1" summaryRight="1"/>
    <pageSetUpPr/>
  </sheetPr>
  <dimension ref="A1:F11"/>
  <sheetViews>
    <sheetView workbookViewId="0">
      <selection activeCell="Q6" sqref="Q6"/>
    </sheetView>
  </sheetViews>
  <sheetFormatPr baseColWidth="8" defaultRowHeight="15"/>
  <cols>
    <col width="16.85546875" bestFit="1" customWidth="1" style="164" min="1" max="1"/>
    <col width="23.140625" bestFit="1" customWidth="1" style="164" min="2" max="2"/>
    <col width="48.42578125" bestFit="1" customWidth="1" style="164" min="3" max="3"/>
    <col width="12.5703125" bestFit="1" customWidth="1" style="164" min="4" max="4"/>
    <col width="8.7109375" bestFit="1" customWidth="1" style="164" min="5" max="5"/>
    <col width="4.42578125" bestFit="1" customWidth="1" style="164" min="6" max="6"/>
  </cols>
  <sheetData>
    <row r="1">
      <c r="A1" s="224" t="inlineStr">
        <is>
          <t>YENİ OUTLOOK / POWER AUTOMATE HAZIRLIK</t>
        </is>
      </c>
    </row>
    <row r="2"/>
    <row r="3">
      <c r="A3" s="231" t="n"/>
      <c r="B3" s="231" t="n"/>
      <c r="C3" s="231" t="n"/>
      <c r="D3" s="231" t="n"/>
      <c r="E3" s="231" t="n"/>
      <c r="F3" s="231" t="n"/>
    </row>
    <row r="4">
      <c r="A4" s="231" t="inlineStr">
        <is>
          <t>Alan</t>
        </is>
      </c>
      <c r="B4" s="231" t="inlineStr">
        <is>
          <t>Değer</t>
        </is>
      </c>
      <c r="C4" s="231" t="inlineStr">
        <is>
          <t>Açıklama</t>
        </is>
      </c>
      <c r="D4" s="231" t="inlineStr">
        <is>
          <t>Durum</t>
        </is>
      </c>
      <c r="E4" s="231" t="inlineStr">
        <is>
          <t>Sorumlu</t>
        </is>
      </c>
      <c r="F4" s="231" t="inlineStr">
        <is>
          <t>Not</t>
        </is>
      </c>
    </row>
    <row r="5">
      <c r="A5" s="231" t="inlineStr">
        <is>
          <t>Akış Adı</t>
        </is>
      </c>
      <c r="B5" s="231" t="inlineStr">
        <is>
          <t>Teklif PDF E-posta Akışı</t>
        </is>
      </c>
      <c r="C5" s="231" t="inlineStr">
        <is>
          <t>PDF ekli taslak veya gönderim akışı</t>
        </is>
      </c>
      <c r="D5" s="231" t="inlineStr">
        <is>
          <t>Hazırlık</t>
        </is>
      </c>
      <c r="E5" s="231" t="n"/>
      <c r="F5" s="231" t="n"/>
    </row>
    <row r="6">
      <c r="A6" s="231" t="inlineStr">
        <is>
          <t>Tetikleyici</t>
        </is>
      </c>
      <c r="B6" s="231" t="inlineStr">
        <is>
          <t>Manuel</t>
        </is>
      </c>
      <c r="C6" s="231" t="inlineStr">
        <is>
          <t>Excel düğmesi veya Power Automate düğmesi</t>
        </is>
      </c>
      <c r="D6" s="231" t="inlineStr">
        <is>
          <t>Hazırlık</t>
        </is>
      </c>
      <c r="E6" s="231" t="n"/>
      <c r="F6" s="231" t="n"/>
    </row>
    <row r="7">
      <c r="A7" s="231" t="inlineStr">
        <is>
          <t>PDF Kaynağı</t>
        </is>
      </c>
      <c r="B7" s="231" t="inlineStr">
        <is>
          <t>Masaüstü\Teklifler\PDF</t>
        </is>
      </c>
      <c r="C7" s="231" t="inlineStr">
        <is>
          <t>Yerel klasör yerine OneDrive önerilir</t>
        </is>
      </c>
      <c r="D7" s="231" t="inlineStr">
        <is>
          <t>Karar gerekli</t>
        </is>
      </c>
      <c r="E7" s="231" t="n"/>
      <c r="F7" s="231" t="n"/>
    </row>
    <row r="8">
      <c r="A8" s="231" t="inlineStr">
        <is>
          <t>E-posta Sağlayıcı</t>
        </is>
      </c>
      <c r="B8" s="231" t="inlineStr">
        <is>
          <t>Microsoft 365 Outlook</t>
        </is>
      </c>
      <c r="C8" s="231" t="inlineStr">
        <is>
          <t>Yeni Outlook uyumlu bağlayıcı</t>
        </is>
      </c>
      <c r="D8" s="231" t="inlineStr">
        <is>
          <t>Hazırlık</t>
        </is>
      </c>
      <c r="E8" s="231" t="n"/>
      <c r="F8" s="231" t="n"/>
    </row>
    <row r="9">
      <c r="A9" s="231" t="inlineStr">
        <is>
          <t>Gönderim Modu</t>
        </is>
      </c>
      <c r="B9" s="231" t="inlineStr">
        <is>
          <t>Taslak oluştur</t>
        </is>
      </c>
      <c r="C9" s="231" t="inlineStr">
        <is>
          <t>Kullanıcı kontrolü korunur</t>
        </is>
      </c>
      <c r="D9" s="231" t="inlineStr">
        <is>
          <t>Önerilen</t>
        </is>
      </c>
      <c r="E9" s="231" t="n"/>
      <c r="F9" s="231" t="n"/>
    </row>
    <row r="10">
      <c r="A10" s="231" t="inlineStr">
        <is>
          <t>Alıcı Kaynağı</t>
        </is>
      </c>
      <c r="B10" s="231" t="inlineStr">
        <is>
          <t>Müşteriler tablosu</t>
        </is>
      </c>
      <c r="C10" s="231" t="inlineStr">
        <is>
          <t>E-posta alanından alınır</t>
        </is>
      </c>
      <c r="D10" s="231" t="inlineStr">
        <is>
          <t>Hazırlık</t>
        </is>
      </c>
      <c r="E10" s="231" t="n"/>
      <c r="F10" s="231" t="n"/>
    </row>
    <row r="11">
      <c r="A11" s="231" t="inlineStr">
        <is>
          <t>Kurumsal İzin</t>
        </is>
      </c>
      <c r="B11" s="231" t="inlineStr">
        <is>
          <t>Bekleniyor</t>
        </is>
      </c>
      <c r="C11" s="231" t="inlineStr">
        <is>
          <t>Microsoft 365/Graph veya Power Automate yetkisi</t>
        </is>
      </c>
      <c r="D11" s="231" t="inlineStr">
        <is>
          <t>Gerekli</t>
        </is>
      </c>
      <c r="E11" s="231" t="n"/>
      <c r="F11" s="231" t="n"/>
    </row>
  </sheetData>
  <mergeCells count="1">
    <mergeCell ref="A1:F2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>
  <sheetPr codeName="Sayfa23">
    <outlinePr summaryBelow="1" summaryRight="1"/>
    <pageSetUpPr/>
  </sheetPr>
  <dimension ref="A1:O39"/>
  <sheetViews>
    <sheetView workbookViewId="0">
      <selection activeCell="E14" sqref="E14:G16"/>
    </sheetView>
  </sheetViews>
  <sheetFormatPr baseColWidth="8" defaultRowHeight="15"/>
  <cols>
    <col width="12" bestFit="1" customWidth="1" style="164" min="2" max="2"/>
    <col width="8.7109375" bestFit="1" customWidth="1" style="164" min="3" max="3"/>
    <col width="17.7109375" bestFit="1" customWidth="1" style="164" min="4" max="4"/>
    <col width="12.5703125" bestFit="1" customWidth="1" style="164" min="5" max="5"/>
    <col width="19" bestFit="1" customWidth="1" style="164" min="6" max="6"/>
    <col width="21.85546875" customWidth="1" style="164" min="10" max="10"/>
    <col width="18.140625" customWidth="1" style="164" min="11" max="11"/>
    <col width="34.28515625" customWidth="1" style="164" min="12" max="12"/>
    <col width="17.140625" customWidth="1" style="164" min="13" max="13"/>
    <col width="8.5703125" customWidth="1" style="164" min="14" max="15"/>
  </cols>
  <sheetData>
    <row r="1" ht="21" customHeight="1" s="164">
      <c r="A1" s="224" t="inlineStr">
        <is>
          <t>TEKLİF YÖNETİM MERKEZİ</t>
        </is>
      </c>
      <c r="J1" s="225" t="inlineStr">
        <is>
          <t>TEKLİF KALİTE VE TAKİP PANELİ</t>
        </is>
      </c>
    </row>
    <row r="2">
      <c r="J2" s="227" t="inlineStr">
        <is>
          <t>Gönderim öncesi kontroller, takip durumu ve para birimi riski</t>
        </is>
      </c>
    </row>
    <row r="3">
      <c r="A3" s="231" t="inlineStr">
        <is>
          <t>Yeni teklif, arşivleme, PDF/e-posta ve faturaya dönüşüm işlemleri</t>
        </is>
      </c>
      <c r="J3" s="94" t="n"/>
      <c r="K3" s="94" t="n"/>
      <c r="L3" s="94" t="n"/>
      <c r="M3" s="94" t="n"/>
      <c r="N3" s="94" t="n"/>
      <c r="O3" s="94" t="n"/>
    </row>
    <row r="4">
      <c r="A4" s="231" t="n"/>
      <c r="B4" s="231" t="n"/>
      <c r="C4" s="231" t="n"/>
      <c r="D4" s="231" t="n"/>
      <c r="E4" s="231" t="n"/>
      <c r="F4" s="231" t="n"/>
      <c r="G4" s="231" t="n"/>
      <c r="H4" s="231" t="n"/>
      <c r="J4" s="96" t="inlineStr">
        <is>
          <t>Aktif Teklif</t>
        </is>
      </c>
      <c r="K4" s="94">
        <f>'Teklif Formu'!J3</f>
        <v/>
      </c>
      <c r="L4" s="94" t="n"/>
      <c r="M4" s="94" t="n"/>
      <c r="N4" s="94" t="n"/>
      <c r="O4" s="94" t="n"/>
    </row>
    <row r="5">
      <c r="A5" s="231" t="inlineStr">
        <is>
          <t>Aktif Teklif No</t>
        </is>
      </c>
      <c r="C5" s="231" t="inlineStr">
        <is>
          <t>Müşteri</t>
        </is>
      </c>
      <c r="E5" s="231" t="inlineStr">
        <is>
          <t>Genel Toplam</t>
        </is>
      </c>
      <c r="G5" s="231" t="inlineStr">
        <is>
          <t>Durum</t>
        </is>
      </c>
      <c r="J5" s="96" t="inlineStr">
        <is>
          <t>Müşteri</t>
        </is>
      </c>
      <c r="K5" s="94">
        <f>IF('Teklif Formu'!D3="","",'Teklif Formu'!D3)</f>
        <v/>
      </c>
      <c r="L5" s="94" t="n"/>
      <c r="M5" s="94" t="n"/>
      <c r="N5" s="94" t="n"/>
      <c r="O5" s="94" t="n"/>
    </row>
    <row r="6">
      <c r="A6" s="231">
        <f>'Teklif Formu'!J3</f>
        <v/>
      </c>
      <c r="C6" s="231">
        <f>IF('Teklif Formu'!D3="","",'Teklif Formu'!D3)</f>
        <v/>
      </c>
      <c r="E6" s="232">
        <f>'Teklif Formu'!K33</f>
        <v/>
      </c>
      <c r="G6" s="231" t="inlineStr">
        <is>
          <t>Taslak</t>
        </is>
      </c>
      <c r="J6" s="96" t="inlineStr">
        <is>
          <t>Teklif Tutarı</t>
        </is>
      </c>
      <c r="K6" s="101">
        <f>'Teklif Formu'!K33</f>
        <v/>
      </c>
      <c r="L6" s="94" t="n"/>
      <c r="M6" s="94" t="n"/>
      <c r="N6" s="94" t="n"/>
      <c r="O6" s="94" t="n"/>
    </row>
    <row r="7">
      <c r="J7" s="96" t="inlineStr">
        <is>
          <t>Dolu Kalem</t>
        </is>
      </c>
      <c r="K7" s="94">
        <f>COUNTIF('Teklif Formu'!A8:A30,"&lt;&gt;")</f>
        <v/>
      </c>
      <c r="L7" s="94" t="n"/>
      <c r="M7" s="94" t="n"/>
      <c r="N7" s="94" t="n"/>
      <c r="O7" s="94" t="n"/>
    </row>
    <row r="8">
      <c r="A8" s="235" t="inlineStr">
        <is>
          <t>Sistem kontrolü: 6 yönetim düğmesi bağlı ve hazır (2026.10.21-v9)</t>
        </is>
      </c>
      <c r="J8" s="96" t="inlineStr">
        <is>
          <t>Geçerlilik Kalan Gün</t>
        </is>
      </c>
      <c r="K8" s="94">
        <f>MAX(0,'Teklif Formu'!J5-TODAY())</f>
        <v/>
      </c>
      <c r="L8" s="94" t="n"/>
      <c r="M8" s="94" t="n"/>
      <c r="N8" s="94" t="n"/>
      <c r="O8" s="94" t="n"/>
    </row>
    <row r="9">
      <c r="A9" s="231" t="n"/>
      <c r="B9" s="231" t="n"/>
      <c r="C9" s="231" t="n"/>
      <c r="D9" s="231" t="n"/>
      <c r="E9" s="231" t="n"/>
      <c r="F9" s="231" t="n"/>
      <c r="G9" s="231" t="n"/>
      <c r="H9" s="231" t="n"/>
      <c r="J9" s="96" t="inlineStr">
        <is>
          <t>Hazırlık Skoru</t>
        </is>
      </c>
      <c r="K9" s="95">
        <f t="array" ref="K9">(--('Teklif Formu'!D3&lt;&gt;"")+--(COUNTIF('Teklif Formu'!A8:A30,"&lt;&gt;")&gt;0)+--(SUMPRODUCT(--('Teklif Formu'!A8:A30&lt;&gt;""),--('Teklif Formu'!D8:D30&gt;0),--('Teklif Formu'!E8:E30&gt;0))=COUNTIF('Teklif Formu'!A8:A30,"&lt;&gt;"))+--(SUMPRODUCT(--('Teklif Formu'!A8:A30&lt;&gt;""),--('Teklif Formu'!J8:J30&gt;0))=COUNTIF('Teklif Formu'!A8:A30,"&lt;&gt;"))+--('Teklif Formu'!J3&lt;&gt;""))/5</f>
        <v/>
      </c>
      <c r="L9" s="94" t="n"/>
      <c r="M9" s="94" t="n"/>
      <c r="N9" s="94" t="n"/>
      <c r="O9" s="94" t="n"/>
    </row>
    <row r="10">
      <c r="B10" s="233" t="inlineStr">
        <is>
          <t>YENİ TEKLİF</t>
        </is>
      </c>
      <c r="E10" s="234" t="inlineStr">
        <is>
          <t>ARŞİVLE</t>
        </is>
      </c>
      <c r="J10" s="94" t="n"/>
      <c r="K10" s="94" t="n"/>
      <c r="L10" s="94" t="n"/>
      <c r="M10" s="94" t="n"/>
      <c r="N10" s="94" t="n"/>
      <c r="O10" s="94" t="n"/>
    </row>
    <row r="11">
      <c r="J11" s="97" t="inlineStr">
        <is>
          <t>Kontrol</t>
        </is>
      </c>
      <c r="K11" s="97" t="inlineStr">
        <is>
          <t>Durum</t>
        </is>
      </c>
      <c r="L11" s="97" t="inlineStr">
        <is>
          <t>Açıklama</t>
        </is>
      </c>
      <c r="M11" s="94" t="n"/>
      <c r="N11" s="94" t="n"/>
      <c r="O11" s="94" t="n"/>
    </row>
    <row r="12">
      <c r="J12" s="94" t="inlineStr">
        <is>
          <t>Müşteri bilgisi</t>
        </is>
      </c>
      <c r="K12" s="94">
        <f>IF('Teklif Formu'!D3&lt;&gt;"","HAZIR","EKSİK")</f>
        <v/>
      </c>
      <c r="L12" s="94" t="inlineStr">
        <is>
          <t>Firma seçilmeden gönderilmemeli</t>
        </is>
      </c>
      <c r="M12" s="94" t="n"/>
      <c r="N12" s="94" t="n"/>
      <c r="O12" s="94" t="n"/>
    </row>
    <row r="13">
      <c r="J13" s="94" t="inlineStr">
        <is>
          <t>Teklif kalemi</t>
        </is>
      </c>
      <c r="K13" s="94">
        <f>IF(COUNTIF('Teklif Formu'!A8:A30,"&lt;&gt;")&gt;0,"HAZIR","EKSİK")</f>
        <v/>
      </c>
      <c r="L13" s="94" t="inlineStr">
        <is>
          <t>En az bir ürün bulunmalı</t>
        </is>
      </c>
      <c r="M13" s="94" t="n"/>
      <c r="N13" s="94" t="n"/>
      <c r="O13" s="94" t="n"/>
    </row>
    <row r="14">
      <c r="B14" s="236" t="inlineStr">
        <is>
          <t>FATURAYA AKTAR</t>
        </is>
      </c>
      <c r="E14" s="237" t="inlineStr">
        <is>
          <t>PDF KAYDET</t>
        </is>
      </c>
      <c r="J14" s="94" t="inlineStr">
        <is>
          <t>Miktar ve fiyat</t>
        </is>
      </c>
      <c r="K14" s="94">
        <f t="array" ref="K14">IF(SUMPRODUCT(--('Teklif Formu'!A8:A30&lt;&gt;""),--('Teklif Formu'!D8:D30&gt;0),--('Teklif Formu'!E8:E30&gt;0))=COUNTIF('Teklif Formu'!A8:A30,"&lt;&gt;"),"HAZIR","EKSİK")</f>
        <v/>
      </c>
      <c r="L14" s="94" t="inlineStr">
        <is>
          <t>Seçili her kalemde pozitif olmalı</t>
        </is>
      </c>
      <c r="M14" s="94" t="n"/>
      <c r="N14" s="94" t="n"/>
      <c r="O14" s="94" t="n"/>
    </row>
    <row r="15">
      <c r="J15" s="94" t="inlineStr">
        <is>
          <t>Döviz kuru</t>
        </is>
      </c>
      <c r="K15" s="94">
        <f t="array" ref="K15">IF(SUMPRODUCT(--('Teklif Formu'!A8:A30&lt;&gt;""),--('Teklif Formu'!J8:J30&gt;0))=COUNTIF('Teklif Formu'!A8:A30,"&lt;&gt;"),"HAZIR","EKSİK")</f>
        <v/>
      </c>
      <c r="L15" s="94" t="inlineStr">
        <is>
          <t>Seçili her kalemde kur bulunmalı</t>
        </is>
      </c>
      <c r="M15" s="94" t="n"/>
      <c r="N15" s="94" t="n"/>
      <c r="O15" s="94" t="n"/>
    </row>
    <row r="16">
      <c r="J16" s="94" t="inlineStr">
        <is>
          <t>Geçerlilik</t>
        </is>
      </c>
      <c r="K16" s="94">
        <f>IF('Teklif Formu'!J5&gt;=TODAY(),"HAZIR","SÜRESİ DOLDU")</f>
        <v/>
      </c>
      <c r="L16" s="94" t="inlineStr">
        <is>
          <t>Son geçerlilik tarihi kontrolü</t>
        </is>
      </c>
      <c r="M16" s="94" t="n"/>
      <c r="N16" s="94" t="n"/>
      <c r="O16" s="94" t="n"/>
    </row>
    <row r="17">
      <c r="J17" s="94" t="inlineStr">
        <is>
          <t>PDF kaydı</t>
        </is>
      </c>
      <c r="K17" s="94">
        <f>IF(COUNTIFS('İşlem Günlüğü'!C:C,'Teklif Formu'!J3,'İşlem Günlüğü'!B:B,"PDF kaydedildi")&gt;0,"HAZIR","BEKLİYOR")</f>
        <v/>
      </c>
      <c r="L17" s="94" t="inlineStr">
        <is>
          <t>İşlem günlüğü kontrolü</t>
        </is>
      </c>
      <c r="M17" s="94" t="n"/>
      <c r="N17" s="94" t="n"/>
      <c r="O17" s="94" t="n"/>
    </row>
    <row r="18">
      <c r="B18" s="238" t="inlineStr">
        <is>
          <t>OUTLOOK TASLAĞI</t>
        </is>
      </c>
      <c r="J18" s="94" t="inlineStr">
        <is>
          <t>Outlook taslağı</t>
        </is>
      </c>
      <c r="K18" s="94">
        <f>IF(COUNTIFS('İşlem Günlüğü'!C:C,'Teklif Formu'!J3,'İşlem Günlüğü'!B:B,"Outlook taslağı açıldı")&gt;0,"HAZIR","BEKLİYOR")</f>
        <v/>
      </c>
      <c r="L18" s="94" t="inlineStr">
        <is>
          <t>İşlem günlüğü kontrolü</t>
        </is>
      </c>
      <c r="M18" s="94" t="n"/>
      <c r="N18" s="94" t="n"/>
      <c r="O18" s="94" t="n"/>
    </row>
    <row r="19">
      <c r="J19" s="94" t="inlineStr">
        <is>
          <t>Kur güncelliği</t>
        </is>
      </c>
      <c r="K19" s="94">
        <f>IF((NOW()-MAX('Kur Bilgisi'!D7:D9))*24&lt;=Ayarlar!B14,"HAZIR","YENİLE")</f>
        <v/>
      </c>
      <c r="L19" s="94" t="inlineStr">
        <is>
          <t>12 saatlik eşik</t>
        </is>
      </c>
      <c r="M19" s="94" t="n"/>
      <c r="N19" s="94" t="n"/>
      <c r="O19" s="94" t="n"/>
    </row>
    <row r="20">
      <c r="J20" t="inlineStr">
        <is>
          <t>Ticari onay</t>
        </is>
      </c>
      <c r="K20">
        <f>IF(OR('Teklif Formu'!K33&gt;=Ayarlar!B12,Ayarlar!B9&gt;Ayarlar!B13),"ONAY GEREKİR","UYGUN")</f>
        <v/>
      </c>
      <c r="L20" t="inlineStr">
        <is>
          <t>Tutar ve iskonto eşiği</t>
        </is>
      </c>
    </row>
    <row r="22">
      <c r="A22" s="239" t="inlineStr">
        <is>
          <t>Bir defalık kurulum: Yönetim VBA modülünü ekleyin ve YonetimDugmeleriniBaglaV2 makrosunu çalıştırın.</t>
        </is>
      </c>
      <c r="J22" s="102" t="inlineStr">
        <is>
          <t>Para Birimi</t>
        </is>
      </c>
      <c r="K22" s="102" t="inlineStr">
        <is>
          <t>Kalem</t>
        </is>
      </c>
      <c r="L22" s="102" t="inlineStr">
        <is>
          <t>KDV Dahil TL</t>
        </is>
      </c>
      <c r="M22" s="102" t="inlineStr">
        <is>
          <t>Toplam Payı</t>
        </is>
      </c>
    </row>
    <row r="23">
      <c r="J23" t="inlineStr">
        <is>
          <t>TRY</t>
        </is>
      </c>
      <c r="K23">
        <f>COUNTIFS('Teklif Formu'!I8:I30,J23,'Teklif Formu'!A8:A30,"&lt;&gt;")</f>
        <v/>
      </c>
      <c r="L23" s="53">
        <f>SUMIFS('Teklif Formu'!K8:K30,'Teklif Formu'!I8:I30,J23)</f>
        <v/>
      </c>
      <c r="M23" s="93">
        <f>IFERROR(L23/'Teklif Formu'!K33,0)</f>
        <v/>
      </c>
    </row>
    <row r="24">
      <c r="B24" s="240" t="inlineStr">
        <is>
          <t>FORMÜLLERİ KORU</t>
        </is>
      </c>
      <c r="J24" t="inlineStr">
        <is>
          <t>USD</t>
        </is>
      </c>
      <c r="K24">
        <f>COUNTIFS('Teklif Formu'!I8:I30,J24,'Teklif Formu'!A8:A30,"&lt;&gt;")</f>
        <v/>
      </c>
      <c r="L24" s="53">
        <f>SUMIFS('Teklif Formu'!K8:K30,'Teklif Formu'!I8:I30,J24)</f>
        <v/>
      </c>
      <c r="M24" s="93">
        <f>IFERROR(L24/'Teklif Formu'!K33,0)</f>
        <v/>
      </c>
    </row>
    <row r="25">
      <c r="J25" t="inlineStr">
        <is>
          <t>EUR</t>
        </is>
      </c>
      <c r="K25">
        <f>COUNTIFS('Teklif Formu'!I8:I30,J25,'Teklif Formu'!A8:A30,"&lt;&gt;")</f>
        <v/>
      </c>
      <c r="L25" s="53">
        <f>SUMIFS('Teklif Formu'!K8:K30,'Teklif Formu'!I8:I30,J25)</f>
        <v/>
      </c>
      <c r="M25" s="93">
        <f>IFERROR(L25/'Teklif Formu'!K33,0)</f>
        <v/>
      </c>
    </row>
    <row r="26">
      <c r="J26" t="inlineStr">
        <is>
          <t>GBP</t>
        </is>
      </c>
      <c r="K26">
        <f>COUNTIFS('Teklif Formu'!I8:I30,J26,'Teklif Formu'!A8:A30,"&lt;&gt;")</f>
        <v/>
      </c>
      <c r="L26" s="53">
        <f>SUMIFS('Teklif Formu'!K8:K30,'Teklif Formu'!I8:I30,J26)</f>
        <v/>
      </c>
      <c r="M26" s="93">
        <f>IFERROR(L26/'Teklif Formu'!K33,0)</f>
        <v/>
      </c>
    </row>
    <row r="28">
      <c r="J28" s="228" t="inlineStr">
        <is>
          <t>SONRAKİ AKSİYON</t>
        </is>
      </c>
    </row>
    <row r="29">
      <c r="J29" s="230">
        <f>IF('Teklif Formu'!D3="","Önce müşteri seçin.",IF(K9&lt;1,"Eksik alanları tamamlayın; teklif gönderime hazır değil.",IF(K20="ONAY GEREKİR","Teklifi göndermeden önce yönetici onayı alın.",IF(K8&lt;=7,"Teklif hazır; geçerlilik süresi yaklaşıyor, hızlı takip önerilir.","Teklif gönderime hazır; PDF oluşturup müşteri takibini başlatın."))))</f>
        <v/>
      </c>
    </row>
    <row r="30"/>
    <row r="31"/>
    <row r="33">
      <c r="J33" s="104" t="inlineStr">
        <is>
          <t>Düğme</t>
        </is>
      </c>
      <c r="K33" s="104" t="inlineStr">
        <is>
          <t>Hedef Makro</t>
        </is>
      </c>
      <c r="L33" s="104" t="inlineStr">
        <is>
          <t>Kontrol</t>
        </is>
      </c>
    </row>
    <row r="34">
      <c r="J34" t="inlineStr">
        <is>
          <t>YENİ TEKLİF</t>
        </is>
      </c>
      <c r="K34" t="inlineStr">
        <is>
          <t>YeniTeklifV2</t>
        </is>
      </c>
      <c r="L34" s="105" t="inlineStr">
        <is>
          <t>HAZIR</t>
        </is>
      </c>
    </row>
    <row r="35">
      <c r="J35" t="inlineStr">
        <is>
          <t>ARŞİVLE</t>
        </is>
      </c>
      <c r="K35" t="inlineStr">
        <is>
          <t>TeklifiArsivleV2</t>
        </is>
      </c>
      <c r="L35" s="105" t="inlineStr">
        <is>
          <t>HAZIR</t>
        </is>
      </c>
    </row>
    <row r="36">
      <c r="J36" t="inlineStr">
        <is>
          <t>FATURAYA AKTAR</t>
        </is>
      </c>
      <c r="K36" t="inlineStr">
        <is>
          <t>TeklifiFaturayaAktarV2</t>
        </is>
      </c>
      <c r="L36" s="105" t="inlineStr">
        <is>
          <t>HAZIR</t>
        </is>
      </c>
    </row>
    <row r="37">
      <c r="J37" t="inlineStr">
        <is>
          <t>PDF KAYDET</t>
        </is>
      </c>
      <c r="K37" t="inlineStr">
        <is>
          <t>TeklifiMasaustunePDFKaydetV2</t>
        </is>
      </c>
      <c r="L37" s="105" t="inlineStr">
        <is>
          <t>HAZIR</t>
        </is>
      </c>
    </row>
    <row r="38">
      <c r="J38" t="inlineStr">
        <is>
          <t>OUTLOOK TASLAĞI</t>
        </is>
      </c>
      <c r="K38" t="inlineStr">
        <is>
          <t>TeklifiOutlookPDFTaslakV1</t>
        </is>
      </c>
      <c r="L38" s="105" t="inlineStr">
        <is>
          <t>HAZIR</t>
        </is>
      </c>
    </row>
    <row r="39">
      <c r="J39" t="inlineStr">
        <is>
          <t>FORMÜLLERİ KORU</t>
        </is>
      </c>
      <c r="K39" t="inlineStr">
        <is>
          <t>TeklifSayfasiniKoruV2</t>
        </is>
      </c>
      <c r="L39" s="105" t="inlineStr">
        <is>
          <t>HAZIR</t>
        </is>
      </c>
    </row>
  </sheetData>
  <mergeCells count="22">
    <mergeCell ref="E14:G16"/>
    <mergeCell ref="E6:F7"/>
    <mergeCell ref="G6:H7"/>
    <mergeCell ref="B18:G20"/>
    <mergeCell ref="C5:D5"/>
    <mergeCell ref="E5:F5"/>
    <mergeCell ref="B10:D12"/>
    <mergeCell ref="E10:G12"/>
    <mergeCell ref="B14:D16"/>
    <mergeCell ref="A3:H3"/>
    <mergeCell ref="B24:G26"/>
    <mergeCell ref="J2:O2"/>
    <mergeCell ref="C6:D7"/>
    <mergeCell ref="A5:B5"/>
    <mergeCell ref="G5:H5"/>
    <mergeCell ref="A1:H2"/>
    <mergeCell ref="A8:H8"/>
    <mergeCell ref="A22:H22"/>
    <mergeCell ref="J1:O1"/>
    <mergeCell ref="J28:O28"/>
    <mergeCell ref="A6:B7"/>
    <mergeCell ref="J29:O31"/>
  </mergeCells>
  <conditionalFormatting sqref="K12:K20">
    <cfRule type="expression" priority="1" dxfId="2">
      <formula>OR(K12="HAZIR",K12="UYGUN")</formula>
    </cfRule>
    <cfRule type="expression" priority="2" dxfId="1">
      <formula>OR(K12="BEKLİYOR",K12="YENİLE")</formula>
    </cfRule>
    <cfRule type="expression" priority="3" dxfId="0">
      <formula>OR(K12="EKSİK",K12="SÜRESİ DOLDU",K12="ONAY GEREKİR")</formula>
    </cfRule>
  </conditionalFormatting>
  <conditionalFormatting sqref="M23:M26">
    <cfRule type="dataBar" priority="4">
      <dataBar>
        <cfvo type="min"/>
        <cfvo type="max"/>
        <color rgb="FF638EC6"/>
      </dataBar>
    </cfRule>
  </conditionalFormatting>
  <dataValidations count="2">
    <dataValidation sqref="G7:H7 H6" showDropDown="0" showInputMessage="1" showErrorMessage="1" allowBlank="1" type="list">
      <formula1>"Taslak,Gönderildi,Takipte,Kabul,Red,Süresi Doldu"</formula1>
    </dataValidation>
    <dataValidation sqref="G6" showDropDown="0" showInputMessage="1" showErrorMessage="1" allowBlank="1" type="list">
      <formula1>"Taslak,Gönderildi,Beklemede,Kabul,Red,Süresi Doldu"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>
  <sheetPr codeName="Sayfa24">
    <outlinePr summaryBelow="1" summaryRight="1"/>
    <pageSetUpPr/>
  </sheetPr>
  <dimension ref="A1:B86"/>
  <sheetViews>
    <sheetView topLeftCell="B5" workbookViewId="0">
      <selection activeCell="B5" sqref="B5:B86"/>
    </sheetView>
  </sheetViews>
  <sheetFormatPr baseColWidth="8" defaultRowHeight="15"/>
  <cols>
    <col width="8.5703125" customWidth="1" style="164" min="1" max="1"/>
    <col width="190.42578125" customWidth="1" style="164" min="2" max="2"/>
  </cols>
  <sheetData>
    <row r="1">
      <c r="A1" s="241" t="inlineStr">
        <is>
          <t>PDF MAKROSU — EKSİKSİZ KOPYALAMA ALANI</t>
        </is>
      </c>
    </row>
    <row r="2"/>
    <row r="3">
      <c r="A3" s="242" t="inlineStr">
        <is>
          <t>Yalnızca B5:B86 aralığını kopyalayıp boş standart VBA modülüne yapıştırın.</t>
        </is>
      </c>
    </row>
    <row r="4">
      <c r="A4" s="68" t="inlineStr">
        <is>
          <t>Satır</t>
        </is>
      </c>
      <c r="B4" s="68" t="inlineStr">
        <is>
          <t>VBA Kodu</t>
        </is>
      </c>
    </row>
    <row r="5">
      <c r="A5" s="69" t="n">
        <v>1</v>
      </c>
      <c r="B5" s="67" t="inlineStr">
        <is>
          <t>Option Explicit</t>
        </is>
      </c>
    </row>
    <row r="6">
      <c r="A6" s="69" t="n">
        <v>2</v>
      </c>
      <c r="B6" s="67" t="n"/>
    </row>
    <row r="7">
      <c r="A7" s="69" t="n">
        <v>3</v>
      </c>
      <c r="B7" s="67" t="inlineStr">
        <is>
          <t>Private Const PDF_SURUMU As String = "2026.09.27-v3"</t>
        </is>
      </c>
    </row>
    <row r="8">
      <c r="A8" s="69" t="n">
        <v>4</v>
      </c>
      <c r="B8" s="67" t="n"/>
    </row>
    <row r="9">
      <c r="A9" s="69" t="n">
        <v>5</v>
      </c>
      <c r="B9" s="67" t="inlineStr">
        <is>
          <t>Public Sub TeklifiMasaustunePDFKaydetV2()</t>
        </is>
      </c>
    </row>
    <row r="10">
      <c r="A10" s="69" t="n">
        <v>6</v>
      </c>
      <c r="B10" s="67" t="inlineStr">
        <is>
          <t xml:space="preserve">    On Error GoTo Hata</t>
        </is>
      </c>
    </row>
    <row r="11">
      <c r="A11" s="69" t="n">
        <v>7</v>
      </c>
      <c r="B11" s="67" t="inlineStr">
        <is>
          <t xml:space="preserve">    Dim ws As Worksheet, klasor As String, altKlasor As String</t>
        </is>
      </c>
    </row>
    <row r="12">
      <c r="A12" s="69" t="n">
        <v>8</v>
      </c>
      <c r="B12" s="67" t="inlineStr">
        <is>
          <t xml:space="preserve">    Dim teklifNo As String, dosya As String, tamYol As String</t>
        </is>
      </c>
    </row>
    <row r="13">
      <c r="A13" s="69" t="n">
        <v>9</v>
      </c>
      <c r="B13" s="67" t="inlineStr">
        <is>
          <t xml:space="preserve">    Dim kabuk As Object, hataNo As Long, hataAciklama As String</t>
        </is>
      </c>
    </row>
    <row r="14">
      <c r="A14" s="69" t="n">
        <v>10</v>
      </c>
      <c r="B14" s="67" t="n"/>
    </row>
    <row r="15">
      <c r="A15" s="69" t="n">
        <v>11</v>
      </c>
      <c r="B15" s="67" t="inlineStr">
        <is>
          <t xml:space="preserve">    Set ws = ThisWorkbook.Worksheets("Teklif Formu")</t>
        </is>
      </c>
    </row>
    <row r="16">
      <c r="A16" s="69" t="n">
        <v>12</v>
      </c>
      <c r="B16" s="67" t="inlineStr">
        <is>
          <t xml:space="preserve">    Set kabuk = CreateObject("WScript.Shell")</t>
        </is>
      </c>
    </row>
    <row r="17">
      <c r="A17" s="69" t="n">
        <v>13</v>
      </c>
      <c r="B17" s="67" t="inlineStr">
        <is>
          <t xml:space="preserve">    If kabuk Is Nothing Then Err.Raise vbObjectError + 301, , "Masaüstü yolu alınamadı."</t>
        </is>
      </c>
    </row>
    <row r="18">
      <c r="A18" s="69" t="n">
        <v>14</v>
      </c>
      <c r="B18" s="67" t="inlineStr">
        <is>
          <t xml:space="preserve">    klasor = kabuk.SpecialFolders("Desktop") &amp; "\Teklifler"</t>
        </is>
      </c>
    </row>
    <row r="19">
      <c r="A19" s="69" t="n">
        <v>15</v>
      </c>
      <c r="B19" s="67" t="inlineStr">
        <is>
          <t xml:space="preserve">    altKlasor = klasor &amp; "\PDF"</t>
        </is>
      </c>
    </row>
    <row r="20">
      <c r="A20" s="69" t="n">
        <v>16</v>
      </c>
      <c r="B20" s="67" t="inlineStr">
        <is>
          <t xml:space="preserve">    KlasorOlusturPDFV2 klasor</t>
        </is>
      </c>
    </row>
    <row r="21">
      <c r="A21" s="69" t="n">
        <v>17</v>
      </c>
      <c r="B21" s="67" t="inlineStr">
        <is>
          <t xml:space="preserve">    KlasorOlusturPDFV2 altKlasor</t>
        </is>
      </c>
    </row>
    <row r="22">
      <c r="A22" s="69" t="n">
        <v>18</v>
      </c>
      <c r="B22" s="67" t="n"/>
    </row>
    <row r="23">
      <c r="A23" s="69" t="n">
        <v>19</v>
      </c>
      <c r="B23" s="67" t="inlineStr">
        <is>
          <t xml:space="preserve">    teklifNo = PDFDosyaAdiTemizleV2(CStr(ws.Range("J3").Text))</t>
        </is>
      </c>
    </row>
    <row r="24">
      <c r="A24" s="69" t="n">
        <v>20</v>
      </c>
      <c r="B24" s="67" t="inlineStr">
        <is>
          <t xml:space="preserve">    If Len(teklifNo) = 0 Then teklifNo = "Numarasiz"</t>
        </is>
      </c>
    </row>
    <row r="25">
      <c r="A25" s="69" t="n">
        <v>21</v>
      </c>
      <c r="B25" s="67" t="inlineStr">
        <is>
          <t xml:space="preserve">    dosya = "Teklif_" &amp; teklifNo &amp; "_" &amp; Format(Now, "yyyymmdd_hhnnss") &amp; ".pdf"</t>
        </is>
      </c>
    </row>
    <row r="26">
      <c r="A26" s="69" t="n">
        <v>22</v>
      </c>
      <c r="B26" s="67" t="inlineStr">
        <is>
          <t xml:space="preserve">    tamYol = altKlasor &amp; "\" &amp; dosya</t>
        </is>
      </c>
    </row>
    <row r="27">
      <c r="A27" s="69" t="n">
        <v>23</v>
      </c>
      <c r="B27" s="67" t="n"/>
    </row>
    <row r="28">
      <c r="A28" s="69" t="n">
        <v>24</v>
      </c>
      <c r="B28" s="67" t="inlineStr">
        <is>
          <t xml:space="preserve">    With ws.PageSetup</t>
        </is>
      </c>
    </row>
    <row r="29">
      <c r="A29" s="69" t="n">
        <v>25</v>
      </c>
      <c r="B29" s="67" t="inlineStr">
        <is>
          <t xml:space="preserve">        .PrintArea = "$A$1:$K$40"</t>
        </is>
      </c>
    </row>
    <row r="30">
      <c r="A30" s="69" t="n">
        <v>26</v>
      </c>
      <c r="B30" s="67" t="inlineStr">
        <is>
          <t xml:space="preserve">        .Orientation = xlPortrait</t>
        </is>
      </c>
    </row>
    <row r="31">
      <c r="A31" s="69" t="n">
        <v>27</v>
      </c>
      <c r="B31" s="67" t="inlineStr">
        <is>
          <t xml:space="preserve">        .PaperSize = xlPaperA4</t>
        </is>
      </c>
    </row>
    <row r="32">
      <c r="A32" s="69" t="n">
        <v>28</v>
      </c>
      <c r="B32" s="67" t="inlineStr">
        <is>
          <t xml:space="preserve">        .Zoom = False</t>
        </is>
      </c>
    </row>
    <row r="33">
      <c r="A33" s="69" t="n">
        <v>29</v>
      </c>
      <c r="B33" s="67" t="inlineStr">
        <is>
          <t xml:space="preserve">        .FitToPagesWide = 1</t>
        </is>
      </c>
    </row>
    <row r="34">
      <c r="A34" s="69" t="n">
        <v>30</v>
      </c>
      <c r="B34" s="67" t="inlineStr">
        <is>
          <t xml:space="preserve">        .FitToPagesTall = 1</t>
        </is>
      </c>
    </row>
    <row r="35">
      <c r="A35" s="69" t="n">
        <v>31</v>
      </c>
      <c r="B35" s="67" t="inlineStr">
        <is>
          <t xml:space="preserve">        .CenterHorizontally = True</t>
        </is>
      </c>
    </row>
    <row r="36">
      <c r="A36" s="69" t="n">
        <v>32</v>
      </c>
      <c r="B36" s="67" t="inlineStr">
        <is>
          <t xml:space="preserve">    End With</t>
        </is>
      </c>
    </row>
    <row r="37">
      <c r="A37" s="69" t="n">
        <v>33</v>
      </c>
      <c r="B37" s="67" t="n"/>
    </row>
    <row r="38">
      <c r="A38" s="69" t="n">
        <v>34</v>
      </c>
      <c r="B38" s="67" t="inlineStr">
        <is>
          <t xml:space="preserve">    ws.ExportAsFixedFormat Type:=xlTypePDF, FileName:=tamYol, Quality:=xlQualityStandard, IncludeDocProperties:=True, IgnorePrintAreas:=False, OpenAfterPublish:=False</t>
        </is>
      </c>
    </row>
    <row r="39">
      <c r="A39" s="69" t="n">
        <v>35</v>
      </c>
      <c r="B39" s="67" t="inlineStr">
        <is>
          <t xml:space="preserve">    If Len(Dir$(tamYol)) = 0 Then Err.Raise vbObjectError + 302, , "PDF dosyası oluşturulamadı."</t>
        </is>
      </c>
    </row>
    <row r="40">
      <c r="A40" s="69" t="n">
        <v>36</v>
      </c>
      <c r="B40" s="67" t="inlineStr">
        <is>
          <t xml:space="preserve">    CreateObject("Shell.Application").Open altKlasor</t>
        </is>
      </c>
    </row>
    <row r="41">
      <c r="A41" s="69" t="n">
        <v>37</v>
      </c>
      <c r="B41" s="67" t="inlineStr">
        <is>
          <t xml:space="preserve">    On Error Resume Next: Application.Run "'" &amp; ThisWorkbook.Name &amp; "'!TeklifIslemLoguV2", "PDF kaydedildi", ws.Range("J3").Text, "Başarılı", tamYol: On Error GoTo Hata: MsgBox "Teklif PDF olarak kaydedildi." &amp; vbCrLf &amp; "Sürüm: " &amp; PDF_SURUMU &amp; vbCrLf &amp; tamYol, vbInformation</t>
        </is>
      </c>
    </row>
    <row r="42">
      <c r="A42" s="69" t="n">
        <v>38</v>
      </c>
      <c r="B42" s="67" t="inlineStr">
        <is>
          <t xml:space="preserve">    Exit Sub</t>
        </is>
      </c>
    </row>
    <row r="43">
      <c r="A43" s="69" t="n">
        <v>39</v>
      </c>
      <c r="B43" s="67" t="inlineStr">
        <is>
          <t>Hata: hataNo = Err.Number: hataAciklama = Err.Description</t>
        </is>
      </c>
    </row>
    <row r="44">
      <c r="A44" s="69" t="n">
        <v>40</v>
      </c>
      <c r="B44" s="67" t="inlineStr">
        <is>
          <t xml:space="preserve">    MsgBox "PDF kaydedilemedi." &amp; vbCrLf &amp; "Hata " &amp; hataNo &amp; ": " &amp; hataAciklama, vbExclamation</t>
        </is>
      </c>
    </row>
    <row r="45">
      <c r="A45" s="69" t="n">
        <v>41</v>
      </c>
      <c r="B45" s="67" t="inlineStr">
        <is>
          <t>End Sub</t>
        </is>
      </c>
    </row>
    <row r="46">
      <c r="A46" s="69" t="n">
        <v>42</v>
      </c>
      <c r="B46" s="67" t="n"/>
    </row>
    <row r="47">
      <c r="A47" s="69" t="n">
        <v>43</v>
      </c>
      <c r="B47" s="67" t="inlineStr">
        <is>
          <t>Public Sub PDFDugmesiniBaglaV2()</t>
        </is>
      </c>
    </row>
    <row r="48">
      <c r="A48" s="69" t="n">
        <v>44</v>
      </c>
      <c r="B48" s="67" t="inlineStr">
        <is>
          <t xml:space="preserve">    On Error GoTo Hata</t>
        </is>
      </c>
    </row>
    <row r="49">
      <c r="A49" s="69" t="n">
        <v>45</v>
      </c>
      <c r="B49" s="67" t="inlineStr">
        <is>
          <t xml:space="preserve">    ThisWorkbook.Worksheets("PDF Kaydet").Shapes("PDF Kaydet Düğmesi").OnAction = "'" &amp; ThisWorkbook.Name &amp; "'!TeklifiMasaustunePDFKaydetV2"</t>
        </is>
      </c>
    </row>
    <row r="50">
      <c r="A50" s="69" t="n">
        <v>46</v>
      </c>
      <c r="B50" s="67" t="inlineStr">
        <is>
          <t xml:space="preserve">    MsgBox "PDF Kaydet düğmesi hazır.", vbInformation</t>
        </is>
      </c>
    </row>
    <row r="51">
      <c r="A51" s="69" t="n">
        <v>47</v>
      </c>
      <c r="B51" s="67" t="inlineStr">
        <is>
          <t xml:space="preserve">    Exit Sub</t>
        </is>
      </c>
    </row>
    <row r="52">
      <c r="A52" s="69" t="n">
        <v>48</v>
      </c>
      <c r="B52" s="67" t="inlineStr">
        <is>
          <t>Hata:</t>
        </is>
      </c>
    </row>
    <row r="53">
      <c r="A53" s="69" t="n">
        <v>49</v>
      </c>
      <c r="B53" s="67" t="inlineStr">
        <is>
          <t xml:space="preserve">    MsgBox "Düğme bağlanamadı: " &amp; Err.Description, vbExclamation</t>
        </is>
      </c>
    </row>
    <row r="54">
      <c r="A54" s="69" t="n">
        <v>50</v>
      </c>
      <c r="B54" s="67" t="inlineStr">
        <is>
          <t>End Sub</t>
        </is>
      </c>
    </row>
    <row r="55">
      <c r="A55" s="69" t="n">
        <v>51</v>
      </c>
      <c r="B55" s="67" t="n"/>
    </row>
    <row r="56">
      <c r="A56" s="69" t="n">
        <v>52</v>
      </c>
      <c r="B56" s="67" t="inlineStr">
        <is>
          <t>Public Sub PDFKaydetTestiV2()</t>
        </is>
      </c>
    </row>
    <row r="57">
      <c r="A57" s="69" t="n">
        <v>53</v>
      </c>
      <c r="B57" s="67" t="inlineStr">
        <is>
          <t xml:space="preserve">    On Error GoTo Hata</t>
        </is>
      </c>
    </row>
    <row r="58">
      <c r="A58" s="69" t="n">
        <v>54</v>
      </c>
      <c r="B58" s="67" t="inlineStr">
        <is>
          <t xml:space="preserve">    Dim ws As Worksheet, kabuk As Object, klasor As String, tamYol As String</t>
        </is>
      </c>
    </row>
    <row r="59">
      <c r="A59" s="69" t="n">
        <v>55</v>
      </c>
      <c r="B59" s="67" t="inlineStr">
        <is>
          <t xml:space="preserve">    Set ws = ThisWorkbook.Worksheets("Teklif Formu")</t>
        </is>
      </c>
    </row>
    <row r="60">
      <c r="A60" s="69" t="n">
        <v>56</v>
      </c>
      <c r="B60" s="67" t="inlineStr">
        <is>
          <t xml:space="preserve">    Set kabuk = CreateObject("WScript.Shell")</t>
        </is>
      </c>
    </row>
    <row r="61">
      <c r="A61" s="69" t="n">
        <v>57</v>
      </c>
      <c r="B61" s="67" t="inlineStr">
        <is>
          <t xml:space="preserve">    If kabuk Is Nothing Then Err.Raise vbObjectError + 303, , "Masaüstü yolu alınamadı."</t>
        </is>
      </c>
    </row>
    <row r="62">
      <c r="A62" s="69" t="n">
        <v>58</v>
      </c>
      <c r="B62" s="67" t="inlineStr">
        <is>
          <t xml:space="preserve">    KlasorOlusturPDFV2 kabuk.SpecialFolders("Desktop") &amp; "\Teklifler"</t>
        </is>
      </c>
    </row>
    <row r="63">
      <c r="A63" s="69" t="n">
        <v>59</v>
      </c>
      <c r="B63" s="67" t="inlineStr">
        <is>
          <t xml:space="preserve">    klasor = kabuk.SpecialFolders("Desktop") &amp; "\Teklifler\PDF"</t>
        </is>
      </c>
    </row>
    <row r="64">
      <c r="A64" s="69" t="n">
        <v>60</v>
      </c>
      <c r="B64" s="67" t="inlineStr">
        <is>
          <t xml:space="preserve">    KlasorOlusturPDFV2 klasor</t>
        </is>
      </c>
    </row>
    <row r="65">
      <c r="A65" s="69" t="n">
        <v>61</v>
      </c>
      <c r="B65" s="67" t="inlineStr">
        <is>
          <t xml:space="preserve">    tamYol = klasor &amp; "\Teklif_TEST_" &amp; Format(Now, "yyyymmdd_hhnnss") &amp; ".pdf"</t>
        </is>
      </c>
    </row>
    <row r="66">
      <c r="A66" s="69" t="n">
        <v>62</v>
      </c>
      <c r="B66" s="67" t="inlineStr">
        <is>
          <t xml:space="preserve">    ws.ExportAsFixedFormat Type:=xlTypePDF, FileName:=tamYol, Quality:=xlQualityStandard, IncludeDocProperties:=True, IgnorePrintAreas:=False, OpenAfterPublish:=False</t>
        </is>
      </c>
    </row>
    <row r="67">
      <c r="A67" s="69" t="n">
        <v>63</v>
      </c>
      <c r="B67" s="67" t="inlineStr">
        <is>
          <t xml:space="preserve">    If Len(Dir$(tamYol)) = 0 Then Err.Raise vbObjectError + 304, , "Test PDF oluşturulamadı."</t>
        </is>
      </c>
    </row>
    <row r="68">
      <c r="A68" s="69" t="n">
        <v>64</v>
      </c>
      <c r="B68" s="67" t="inlineStr">
        <is>
          <t xml:space="preserve">    CreateObject("Shell.Application").Open klasor</t>
        </is>
      </c>
    </row>
    <row r="69">
      <c r="A69" s="69" t="n">
        <v>65</v>
      </c>
      <c r="B69" s="67" t="inlineStr">
        <is>
          <t xml:space="preserve">    MsgBox "PDF kayıt testi başarılı." &amp; vbCrLf &amp; tamYol, vbInformation</t>
        </is>
      </c>
    </row>
    <row r="70">
      <c r="A70" s="69" t="n">
        <v>66</v>
      </c>
      <c r="B70" s="67" t="inlineStr">
        <is>
          <t xml:space="preserve">    Exit Sub</t>
        </is>
      </c>
    </row>
    <row r="71">
      <c r="A71" s="69" t="n">
        <v>67</v>
      </c>
      <c r="B71" s="67" t="inlineStr">
        <is>
          <t>Hata:</t>
        </is>
      </c>
    </row>
    <row r="72">
      <c r="A72" s="69" t="n">
        <v>68</v>
      </c>
      <c r="B72" s="67" t="inlineStr">
        <is>
          <t xml:space="preserve">    MsgBox "PDF kayıt testi başarısız. Hata " &amp; Err.Number &amp; ": " &amp; Err.Description, vbExclamation</t>
        </is>
      </c>
    </row>
    <row r="73">
      <c r="A73" s="69" t="n">
        <v>69</v>
      </c>
      <c r="B73" s="67" t="inlineStr">
        <is>
          <t>End Sub</t>
        </is>
      </c>
    </row>
    <row r="74">
      <c r="A74" s="69" t="n">
        <v>70</v>
      </c>
      <c r="B74" s="67" t="n"/>
    </row>
    <row r="75">
      <c r="A75" s="69" t="n">
        <v>71</v>
      </c>
      <c r="B75" s="67" t="inlineStr">
        <is>
          <t>Private Sub KlasorOlusturPDFV2(ByVal yol As String)</t>
        </is>
      </c>
    </row>
    <row r="76">
      <c r="A76" s="69" t="n">
        <v>72</v>
      </c>
      <c r="B76" s="67" t="inlineStr">
        <is>
          <t xml:space="preserve">    If Len(Dir$(yol, vbDirectory)) = 0 Then MkDir yol</t>
        </is>
      </c>
    </row>
    <row r="77">
      <c r="A77" s="69" t="n">
        <v>73</v>
      </c>
      <c r="B77" s="67" t="inlineStr">
        <is>
          <t>End Sub</t>
        </is>
      </c>
    </row>
    <row r="78">
      <c r="A78" s="69" t="n">
        <v>74</v>
      </c>
      <c r="B78" s="67" t="n"/>
    </row>
    <row r="79">
      <c r="A79" s="69" t="n">
        <v>75</v>
      </c>
      <c r="B79" s="67" t="inlineStr">
        <is>
          <t>Private Function PDFDosyaAdiTemizleV2(ByVal metin As String) As String</t>
        </is>
      </c>
    </row>
    <row r="80">
      <c r="A80" s="69" t="n">
        <v>76</v>
      </c>
      <c r="B80" s="67" t="inlineStr">
        <is>
          <t xml:space="preserve">    Dim yasak As Variant, x As Variant</t>
        </is>
      </c>
    </row>
    <row r="81">
      <c r="A81" s="69" t="n">
        <v>77</v>
      </c>
      <c r="B81" s="67" t="inlineStr">
        <is>
          <t xml:space="preserve">    yasak = Array("\", "/", ":", "*", "?", Chr$(34), "&lt;", "&gt;", "|")</t>
        </is>
      </c>
    </row>
    <row r="82">
      <c r="A82" s="69" t="n">
        <v>78</v>
      </c>
      <c r="B82" s="67" t="inlineStr">
        <is>
          <t xml:space="preserve">    For Each x In yasak</t>
        </is>
      </c>
    </row>
    <row r="83">
      <c r="A83" s="69" t="n">
        <v>79</v>
      </c>
      <c r="B83" s="67" t="inlineStr">
        <is>
          <t xml:space="preserve">        metin = Replace(metin, CStr(x), "-")</t>
        </is>
      </c>
    </row>
    <row r="84">
      <c r="A84" s="69" t="n">
        <v>80</v>
      </c>
      <c r="B84" s="67" t="inlineStr">
        <is>
          <t xml:space="preserve">    Next x</t>
        </is>
      </c>
    </row>
    <row r="85">
      <c r="A85" s="69" t="n">
        <v>81</v>
      </c>
      <c r="B85" s="67" t="inlineStr">
        <is>
          <t xml:space="preserve">    PDFDosyaAdiTemizleV2 = Trim$(metin)</t>
        </is>
      </c>
    </row>
    <row r="86">
      <c r="A86" s="69" t="n">
        <v>82</v>
      </c>
      <c r="B86" s="67" t="inlineStr">
        <is>
          <t>End Function</t>
        </is>
      </c>
    </row>
  </sheetData>
  <mergeCells count="2">
    <mergeCell ref="A1:B2"/>
    <mergeCell ref="A3:B3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>
  <sheetPr codeName="Sayfa25">
    <outlinePr summaryBelow="1" summaryRight="1"/>
    <pageSetUpPr/>
  </sheetPr>
  <dimension ref="A1:B169"/>
  <sheetViews>
    <sheetView topLeftCell="B26" workbookViewId="0">
      <selection activeCell="B5" sqref="B5:B150"/>
    </sheetView>
  </sheetViews>
  <sheetFormatPr baseColWidth="8" defaultRowHeight="15"/>
  <cols>
    <col width="32.42578125" customWidth="1" style="164" min="1" max="1"/>
    <col width="190.42578125" customWidth="1" style="164" min="2" max="2"/>
  </cols>
  <sheetData>
    <row r="1" ht="15" customHeight="1" s="164">
      <c r="A1" s="241" t="inlineStr">
        <is>
          <t>WHATSAPP MAKROSU v5 — ESKİ MODÜLÜN TAMAMINI DEĞİŞTİRİN</t>
        </is>
      </c>
    </row>
    <row r="2" ht="15" customHeight="1" s="164"/>
    <row r="3">
      <c r="A3" s="242" t="inlineStr">
        <is>
          <t>B5:B150 aralığını kopyalayın. Alt+F11'de ESKİ WhatsApp modülünü açın, Ctrl+A → Ctrl+V yapın. Sonra yalnızca TumFonksiyonlariTestEtV5 çalıştırın.</t>
        </is>
      </c>
    </row>
    <row r="4">
      <c r="A4" s="68" t="inlineStr">
        <is>
          <t>Satır</t>
        </is>
      </c>
      <c r="B4" s="68" t="inlineStr">
        <is>
          <t>VBA Kodu</t>
        </is>
      </c>
    </row>
    <row r="5">
      <c r="A5" s="69" t="n">
        <v>1</v>
      </c>
      <c r="B5" s="67" t="inlineStr">
        <is>
          <t>Option Explicit</t>
        </is>
      </c>
    </row>
    <row r="6">
      <c r="A6" s="69" t="n">
        <v>2</v>
      </c>
      <c r="B6" s="67" t="n"/>
    </row>
    <row r="7">
      <c r="A7" s="69" t="n">
        <v>3</v>
      </c>
      <c r="B7" s="67" t="inlineStr">
        <is>
          <t>Private Const BEKLEME_SANIYE As Long = 15</t>
        </is>
      </c>
    </row>
    <row r="8">
      <c r="A8" s="69" t="n">
        <v>4</v>
      </c>
      <c r="B8" s="67" t="inlineStr">
        <is>
          <t>Private Const MAKRO_SURUMU As String = "2026.09.27-v5"</t>
        </is>
      </c>
    </row>
    <row r="9">
      <c r="A9" s="69" t="n">
        <v>5</v>
      </c>
      <c r="B9" s="67" t="n"/>
    </row>
    <row r="10">
      <c r="A10" s="69" t="n">
        <v>6</v>
      </c>
      <c r="B10" s="67" t="inlineStr">
        <is>
          <t>Public Sub TeklifiWhatsAppPDFGonderV5()</t>
        </is>
      </c>
    </row>
    <row r="11">
      <c r="A11" s="69" t="n">
        <v>7</v>
      </c>
      <c r="B11" s="67" t="inlineStr">
        <is>
          <t xml:space="preserve">    On Error GoTo Hata</t>
        </is>
      </c>
    </row>
    <row r="12">
      <c r="A12" s="69" t="n">
        <v>8</v>
      </c>
      <c r="B12" s="67" t="inlineStr">
        <is>
          <t xml:space="preserve">    Dim ws As Worksheet, tel As String, pdf As String, klasor As String</t>
        </is>
      </c>
    </row>
    <row r="13">
      <c r="A13" s="69" t="n">
        <v>9</v>
      </c>
      <c r="B13" s="67" t="inlineStr">
        <is>
          <t xml:space="preserve">    Dim dosya As String, mesaj As String, url As String, kabuk As Object</t>
        </is>
      </c>
    </row>
    <row r="14">
      <c r="A14" s="69" t="n">
        <v>10</v>
      </c>
      <c r="B14" s="67" t="inlineStr">
        <is>
          <t xml:space="preserve">    Dim asama As String</t>
        </is>
      </c>
    </row>
    <row r="15">
      <c r="A15" s="69" t="n">
        <v>11</v>
      </c>
      <c r="B15" s="67" t="n"/>
    </row>
    <row r="16">
      <c r="A16" s="69" t="n">
        <v>12</v>
      </c>
      <c r="B16" s="67" t="inlineStr">
        <is>
          <t xml:space="preserve">    asama = "Teklif sayfası hazırlanıyor"</t>
        </is>
      </c>
    </row>
    <row r="17">
      <c r="A17" s="69" t="n">
        <v>13</v>
      </c>
      <c r="B17" s="67" t="inlineStr">
        <is>
          <t xml:space="preserve">    Set ws = ThisWorkbook.Worksheets("Teklif Formu")</t>
        </is>
      </c>
    </row>
    <row r="18">
      <c r="A18" s="69" t="n">
        <v>14</v>
      </c>
      <c r="B18" s="67" t="inlineStr">
        <is>
          <t xml:space="preserve">    tel = TemizTelefonV5(InputBox("Alıcı telefonunu ülke koduyla girin (örn. 905xxxxxxxxx):", "WhatsApp PDF Paylaşımı " &amp; MAKRO_SURUMU))</t>
        </is>
      </c>
    </row>
    <row r="19">
      <c r="A19" s="69" t="n">
        <v>15</v>
      </c>
      <c r="B19" s="67" t="inlineStr">
        <is>
          <t xml:space="preserve">    If Len(tel) = 0 Then Exit Sub</t>
        </is>
      </c>
    </row>
    <row r="20">
      <c r="A20" s="69" t="n">
        <v>16</v>
      </c>
      <c r="B20" s="67" t="inlineStr">
        <is>
          <t xml:space="preserve">    If Len(tel) &lt; 10 Or Len(tel) &gt; 15 Then Err.Raise vbObjectError + 201, , "Telefon numarası geçersiz."</t>
        </is>
      </c>
    </row>
    <row r="21">
      <c r="A21" s="69" t="n">
        <v>17</v>
      </c>
      <c r="B21" s="67" t="inlineStr">
        <is>
          <t xml:space="preserve">    If MsgBox("Teklif PDF olarak oluşturulup +" &amp; tel &amp; " numarasına gönderilecek. Devam edilsin mi?", vbYesNo + vbQuestion, "Onay " &amp; MAKRO_SURUMU) &lt;&gt; vbYes Then Exit Sub</t>
        </is>
      </c>
    </row>
    <row r="22">
      <c r="A22" s="69" t="n">
        <v>18</v>
      </c>
      <c r="B22" s="67" t="n"/>
    </row>
    <row r="23">
      <c r="A23" s="69" t="n">
        <v>19</v>
      </c>
      <c r="B23" s="67" t="inlineStr">
        <is>
          <t xml:space="preserve">    klasor = Environ$("TEMP")</t>
        </is>
      </c>
    </row>
    <row r="24">
      <c r="A24" s="69" t="n">
        <v>20</v>
      </c>
      <c r="B24" s="67" t="inlineStr">
        <is>
          <t xml:space="preserve">    If Len(klasor) = 0 Or Len(Dir$(klasor, vbDirectory)) = 0 Then Err.Raise vbObjectError + 202, , "TEMP klasörü bulunamadı."</t>
        </is>
      </c>
    </row>
    <row r="25">
      <c r="A25" s="69" t="n">
        <v>21</v>
      </c>
      <c r="B25" s="67" t="inlineStr">
        <is>
          <t xml:space="preserve">    dosya = "Teklif_" &amp; DosyaAdiTemizleV5(CStr(ws.Range("J3").Text)) &amp; "_" &amp; Format(Now, "yyyymmdd_hhnnss") &amp; ".pdf"</t>
        </is>
      </c>
    </row>
    <row r="26">
      <c r="A26" s="69" t="n">
        <v>22</v>
      </c>
      <c r="B26" s="67" t="inlineStr">
        <is>
          <t xml:space="preserve">    pdf = klasor &amp; "\" &amp; dosya</t>
        </is>
      </c>
    </row>
    <row r="27">
      <c r="A27" s="69" t="n">
        <v>23</v>
      </c>
      <c r="B27" s="67" t="inlineStr">
        <is>
          <t xml:space="preserve">    Application.ScreenUpdating = False</t>
        </is>
      </c>
    </row>
    <row r="28">
      <c r="A28" s="69" t="n">
        <v>24</v>
      </c>
      <c r="B28" s="67" t="n"/>
    </row>
    <row r="29">
      <c r="A29" s="69" t="n">
        <v>25</v>
      </c>
      <c r="B29" s="67" t="inlineStr">
        <is>
          <t xml:space="preserve">    asama = "A4 PDF oluşturuluyor"</t>
        </is>
      </c>
    </row>
    <row r="30">
      <c r="A30" s="69" t="n">
        <v>26</v>
      </c>
      <c r="B30" s="67" t="inlineStr">
        <is>
          <t xml:space="preserve">    With ws.PageSetup</t>
        </is>
      </c>
    </row>
    <row r="31">
      <c r="A31" s="69" t="n">
        <v>27</v>
      </c>
      <c r="B31" s="67" t="inlineStr">
        <is>
          <t xml:space="preserve">        .PrintArea = "$A$1:$K$40"</t>
        </is>
      </c>
    </row>
    <row r="32">
      <c r="A32" s="69" t="n">
        <v>28</v>
      </c>
      <c r="B32" s="67" t="inlineStr">
        <is>
          <t xml:space="preserve">        .Orientation = xlPortrait</t>
        </is>
      </c>
    </row>
    <row r="33">
      <c r="A33" s="69" t="n">
        <v>29</v>
      </c>
      <c r="B33" s="67" t="inlineStr">
        <is>
          <t xml:space="preserve">        .PaperSize = xlPaperA4</t>
        </is>
      </c>
    </row>
    <row r="34">
      <c r="A34" s="69" t="n">
        <v>30</v>
      </c>
      <c r="B34" s="67" t="inlineStr">
        <is>
          <t xml:space="preserve">        .Zoom = False</t>
        </is>
      </c>
    </row>
    <row r="35">
      <c r="A35" s="69" t="n">
        <v>31</v>
      </c>
      <c r="B35" s="67" t="inlineStr">
        <is>
          <t xml:space="preserve">        .FitToPagesWide = 1</t>
        </is>
      </c>
    </row>
    <row r="36">
      <c r="A36" s="69" t="n">
        <v>32</v>
      </c>
      <c r="B36" s="67" t="inlineStr">
        <is>
          <t xml:space="preserve">        .FitToPagesTall = 1</t>
        </is>
      </c>
    </row>
    <row r="37">
      <c r="A37" s="69" t="n">
        <v>33</v>
      </c>
      <c r="B37" s="67" t="inlineStr">
        <is>
          <t xml:space="preserve">        .CenterHorizontally = True</t>
        </is>
      </c>
    </row>
    <row r="38">
      <c r="A38" s="69" t="n">
        <v>34</v>
      </c>
      <c r="B38" s="67" t="inlineStr">
        <is>
          <t xml:space="preserve">        .LeftMargin = Application.CentimetersToPoints(0.6)</t>
        </is>
      </c>
    </row>
    <row r="39">
      <c r="A39" s="69" t="n">
        <v>35</v>
      </c>
      <c r="B39" s="67" t="inlineStr">
        <is>
          <t xml:space="preserve">        .RightMargin = Application.CentimetersToPoints(0.6)</t>
        </is>
      </c>
    </row>
    <row r="40">
      <c r="A40" s="69" t="n">
        <v>36</v>
      </c>
      <c r="B40" s="67" t="inlineStr">
        <is>
          <t xml:space="preserve">        .TopMargin = Application.CentimetersToPoints(0.6)</t>
        </is>
      </c>
    </row>
    <row r="41">
      <c r="A41" s="69" t="n">
        <v>37</v>
      </c>
      <c r="B41" s="67" t="inlineStr">
        <is>
          <t xml:space="preserve">        .BottomMargin = Application.CentimetersToPoints(0.6)</t>
        </is>
      </c>
    </row>
    <row r="42">
      <c r="A42" s="69" t="n">
        <v>38</v>
      </c>
      <c r="B42" s="67" t="inlineStr">
        <is>
          <t xml:space="preserve">    End With</t>
        </is>
      </c>
    </row>
    <row r="43">
      <c r="A43" s="69" t="n">
        <v>39</v>
      </c>
      <c r="B43" s="67" t="inlineStr">
        <is>
          <t xml:space="preserve">    ws.ExportAsFixedFormat Type:=xlTypePDF, FileName:=pdf, Quality:=xlQualityStandard, IncludeDocProperties:=True, IgnorePrintAreas:=False, OpenAfterPublish:=False</t>
        </is>
      </c>
    </row>
    <row r="44">
      <c r="A44" s="69" t="n">
        <v>40</v>
      </c>
      <c r="B44" s="67" t="inlineStr">
        <is>
          <t xml:space="preserve">    If Len(Dir$(pdf)) = 0 Then Err.Raise vbObjectError + 203, , "PDF oluşturulamadı."</t>
        </is>
      </c>
    </row>
    <row r="45">
      <c r="A45" s="69" t="n">
        <v>41</v>
      </c>
      <c r="B45" s="67" t="n"/>
    </row>
    <row r="46">
      <c r="A46" s="69" t="n">
        <v>42</v>
      </c>
      <c r="B46" s="67" t="inlineStr">
        <is>
          <t xml:space="preserve">    asama = "PDF Windows panosuna alınıyor"</t>
        </is>
      </c>
    </row>
    <row r="47">
      <c r="A47" s="69" t="n">
        <v>43</v>
      </c>
      <c r="B47" s="67" t="inlineStr">
        <is>
          <t xml:space="preserve">    DosyayiPanoyaKopyalaV5 pdf</t>
        </is>
      </c>
    </row>
    <row r="48">
      <c r="A48" s="69" t="n">
        <v>44</v>
      </c>
      <c r="B48" s="67" t="n"/>
    </row>
    <row r="49">
      <c r="A49" s="69" t="n">
        <v>45</v>
      </c>
      <c r="B49" s="67" t="inlineStr">
        <is>
          <t xml:space="preserve">    asama = "WhatsApp Web açılıyor"</t>
        </is>
      </c>
    </row>
    <row r="50">
      <c r="A50" s="69" t="n">
        <v>46</v>
      </c>
      <c r="B50" s="67" t="inlineStr">
        <is>
          <t xml:space="preserve">    mesaj = "Teklif PDF dosyanız ektedir."</t>
        </is>
      </c>
    </row>
    <row r="51">
      <c r="A51" s="69" t="n">
        <v>47</v>
      </c>
      <c r="B51" s="67" t="inlineStr">
        <is>
          <t xml:space="preserve">    url = "https://web.whatsapp.com/send?phone=" &amp; tel &amp; "&amp;text=" &amp; Application.WorksheetFunction.EncodeURL(mesaj)</t>
        </is>
      </c>
    </row>
    <row r="52">
      <c r="A52" s="69" t="n">
        <v>48</v>
      </c>
      <c r="B52" s="67" t="inlineStr">
        <is>
          <t xml:space="preserve">    ThisWorkbook.FollowHyperlink Address:=url, NewWindow:=True</t>
        </is>
      </c>
    </row>
    <row r="53">
      <c r="A53" s="69" t="n">
        <v>49</v>
      </c>
      <c r="B53" s="67" t="inlineStr">
        <is>
          <t xml:space="preserve">    Application.Wait Now + TimeSerial(0, 0, BEKLEME_SANIYE)</t>
        </is>
      </c>
    </row>
    <row r="54">
      <c r="A54" s="69" t="n">
        <v>50</v>
      </c>
      <c r="B54" s="67" t="n"/>
    </row>
    <row r="55">
      <c r="A55" s="69" t="n">
        <v>51</v>
      </c>
      <c r="B55" s="67" t="inlineStr">
        <is>
          <t xml:space="preserve">    asama = "WhatsApp penceresi etkinleştiriliyor"</t>
        </is>
      </c>
    </row>
    <row r="56">
      <c r="A56" s="69" t="n">
        <v>52</v>
      </c>
      <c r="B56" s="67" t="inlineStr">
        <is>
          <t xml:space="preserve">    Set kabuk = CreateObject("WScript.Shell")</t>
        </is>
      </c>
    </row>
    <row r="57">
      <c r="A57" s="69" t="n">
        <v>53</v>
      </c>
      <c r="B57" s="67" t="inlineStr">
        <is>
          <t xml:space="preserve">    If kabuk Is Nothing Then Err.Raise vbObjectError + 204, , "WScript.Shell başlatılamadı."</t>
        </is>
      </c>
    </row>
    <row r="58">
      <c r="A58" s="69" t="n">
        <v>54</v>
      </c>
      <c r="B58" s="67" t="inlineStr">
        <is>
          <t xml:space="preserve">    If Not kabuk.AppActivate("WhatsApp") Then Err.Raise vbObjectError + 205, , "WhatsApp Web penceresi bulunamadı. Tarayıcı sekmesini açıp tekrar deneyin."</t>
        </is>
      </c>
    </row>
    <row r="59">
      <c r="A59" s="69" t="n">
        <v>55</v>
      </c>
      <c r="B59" s="67" t="inlineStr">
        <is>
          <t xml:space="preserve">    Application.Wait Now + TimeSerial(0, 0, 1)</t>
        </is>
      </c>
    </row>
    <row r="60">
      <c r="A60" s="69" t="n">
        <v>56</v>
      </c>
      <c r="B60" s="67" t="n"/>
    </row>
    <row r="61">
      <c r="A61" s="69" t="n">
        <v>57</v>
      </c>
      <c r="B61" s="67" t="inlineStr">
        <is>
          <t xml:space="preserve">    asama = "PDF WhatsApp'a yapıştırılıyor"</t>
        </is>
      </c>
    </row>
    <row r="62">
      <c r="A62" s="69" t="n">
        <v>58</v>
      </c>
      <c r="B62" s="67" t="inlineStr">
        <is>
          <t xml:space="preserve">    kabuk.SendKeys "^v", True</t>
        </is>
      </c>
    </row>
    <row r="63">
      <c r="A63" s="69" t="n">
        <v>59</v>
      </c>
      <c r="B63" s="67" t="inlineStr">
        <is>
          <t xml:space="preserve">    Application.Wait Now + TimeSerial(0, 0, 4)</t>
        </is>
      </c>
    </row>
    <row r="64">
      <c r="A64" s="69" t="n">
        <v>60</v>
      </c>
      <c r="B64" s="67" t="inlineStr">
        <is>
          <t xml:space="preserve">    kabuk.SendKeys "{ENTER}", True</t>
        </is>
      </c>
    </row>
    <row r="65">
      <c r="A65" s="69" t="n">
        <v>61</v>
      </c>
      <c r="B65" s="67" t="n"/>
    </row>
    <row r="66">
      <c r="A66" s="69" t="n">
        <v>62</v>
      </c>
      <c r="B66" s="67" t="inlineStr">
        <is>
          <t xml:space="preserve">    Application.ScreenUpdating = True</t>
        </is>
      </c>
    </row>
    <row r="67">
      <c r="A67" s="69" t="n">
        <v>63</v>
      </c>
      <c r="B67" s="67" t="inlineStr">
        <is>
          <t xml:space="preserve">    MsgBox "PDF WhatsApp üzerinden gönderildi." &amp; vbCrLf &amp; "Sürüm: " &amp; MAKRO_SURUMU &amp; vbCrLf &amp; pdf, vbInformation</t>
        </is>
      </c>
    </row>
    <row r="68">
      <c r="A68" s="69" t="n">
        <v>64</v>
      </c>
      <c r="B68" s="67" t="inlineStr">
        <is>
          <t xml:space="preserve">    Exit Sub</t>
        </is>
      </c>
    </row>
    <row r="69">
      <c r="A69" s="69" t="n">
        <v>65</v>
      </c>
      <c r="B69" s="67" t="inlineStr">
        <is>
          <t>Hata:</t>
        </is>
      </c>
    </row>
    <row r="70">
      <c r="A70" s="69" t="n">
        <v>66</v>
      </c>
      <c r="B70" s="67" t="inlineStr">
        <is>
          <t xml:space="preserve">    Application.ScreenUpdating = True</t>
        </is>
      </c>
    </row>
    <row r="71">
      <c r="A71" s="69" t="n">
        <v>67</v>
      </c>
      <c r="B71" s="67" t="inlineStr">
        <is>
          <t xml:space="preserve">    MsgBox "WhatsApp paylaşımı tamamlanamadı." &amp; vbCrLf &amp; "Sürüm: " &amp; MAKRO_SURUMU &amp; vbCrLf &amp; "Aşama: " &amp; asama &amp; vbCrLf &amp; "Hata " &amp; Err.Number &amp; ": " &amp; Err.Description &amp; vbCrLf &amp; "PDF yolu: " &amp; pdf, vbExclamation</t>
        </is>
      </c>
    </row>
    <row r="72">
      <c r="A72" s="69" t="n">
        <v>68</v>
      </c>
      <c r="B72" s="67" t="inlineStr">
        <is>
          <t>End Sub</t>
        </is>
      </c>
    </row>
    <row r="73">
      <c r="A73" s="69" t="n">
        <v>69</v>
      </c>
      <c r="B73" s="67" t="n"/>
    </row>
    <row r="74">
      <c r="A74" s="69" t="n">
        <v>70</v>
      </c>
      <c r="B74" s="67" t="inlineStr">
        <is>
          <t>Private Sub DosyayiPanoyaKopyalaV5(ByVal pdf As String)</t>
        </is>
      </c>
    </row>
    <row r="75">
      <c r="A75" s="69" t="n">
        <v>71</v>
      </c>
      <c r="B75" s="67" t="inlineStr">
        <is>
          <t xml:space="preserve">    Dim kabuk As Object, komut As String, guvenliYol As String</t>
        </is>
      </c>
    </row>
    <row r="76">
      <c r="A76" s="69" t="n">
        <v>72</v>
      </c>
      <c r="B76" s="67" t="inlineStr">
        <is>
          <t xml:space="preserve">    Dim sonuc As Long</t>
        </is>
      </c>
    </row>
    <row r="77">
      <c r="A77" s="69" t="n">
        <v>73</v>
      </c>
      <c r="B77" s="67" t="inlineStr">
        <is>
          <t xml:space="preserve">    If Len(Dir$(pdf)) = 0 Then Err.Raise vbObjectError + 206, , "Panoya alınacak PDF bulunamadı: " &amp; pdf</t>
        </is>
      </c>
    </row>
    <row r="78">
      <c r="A78" s="69" t="n">
        <v>74</v>
      </c>
      <c r="B78" s="67" t="inlineStr">
        <is>
          <t xml:space="preserve">    guvenliYol = Replace(pdf, "'", "''")</t>
        </is>
      </c>
    </row>
    <row r="79">
      <c r="A79" s="69" t="n">
        <v>75</v>
      </c>
      <c r="B79" s="67" t="inlineStr">
        <is>
          <t xml:space="preserve">    komut = "powershell.exe -NoProfile -STA -Command ""Add-Type -AssemblyName System.Windows.Forms; $f=New-Object System.Collections.Specialized.StringCollection; [void]$f.Add('" &amp; guvenliYol &amp; "'); [System.Windows.Forms.Clipboard]::SetFileDropList($f)"""</t>
        </is>
      </c>
    </row>
    <row r="80">
      <c r="A80" s="69" t="n">
        <v>76</v>
      </c>
      <c r="B80" s="67" t="inlineStr">
        <is>
          <t xml:space="preserve">    Set kabuk = CreateObject("WScript.Shell")</t>
        </is>
      </c>
    </row>
    <row r="81">
      <c r="A81" s="69" t="n">
        <v>77</v>
      </c>
      <c r="B81" s="67" t="inlineStr">
        <is>
          <t xml:space="preserve">    If kabuk Is Nothing Then Err.Raise vbObjectError + 207, , "WScript.Shell başlatılamadı."</t>
        </is>
      </c>
    </row>
    <row r="82">
      <c r="A82" s="69" t="n">
        <v>78</v>
      </c>
      <c r="B82" s="67" t="inlineStr">
        <is>
          <t xml:space="preserve">    sonuc = kabuk.Run(komut, 0, True)</t>
        </is>
      </c>
    </row>
    <row r="83">
      <c r="A83" s="69" t="n">
        <v>79</v>
      </c>
      <c r="B83" s="67" t="inlineStr">
        <is>
          <t xml:space="preserve">    If sonuc &lt;&gt; 0 Then Err.Raise vbObjectError + 208, , "PDF panoya alınamadı. PowerShell çıkış kodu: " &amp; sonuc</t>
        </is>
      </c>
    </row>
    <row r="84">
      <c r="A84" s="69" t="n">
        <v>80</v>
      </c>
      <c r="B84" s="67" t="inlineStr">
        <is>
          <t xml:space="preserve">    DoEvents</t>
        </is>
      </c>
    </row>
    <row r="85">
      <c r="A85" s="69" t="n">
        <v>81</v>
      </c>
      <c r="B85" s="67" t="inlineStr">
        <is>
          <t xml:space="preserve">    Application.Wait Now + TimeSerial(0, 0, 2)</t>
        </is>
      </c>
    </row>
    <row r="86">
      <c r="A86" s="69" t="n">
        <v>82</v>
      </c>
      <c r="B86" s="67" t="inlineStr">
        <is>
          <t>End Sub</t>
        </is>
      </c>
    </row>
    <row r="87">
      <c r="A87" s="69" t="n">
        <v>83</v>
      </c>
      <c r="B87" s="67" t="n"/>
    </row>
    <row r="88">
      <c r="A88" s="69" t="n">
        <v>84</v>
      </c>
      <c r="B88" s="67" t="inlineStr">
        <is>
          <t>Public Sub TumFonksiyonlariTestEtV5()</t>
        </is>
      </c>
    </row>
    <row r="89">
      <c r="A89" s="69" t="n">
        <v>85</v>
      </c>
      <c r="B89" s="67" t="inlineStr">
        <is>
          <t xml:space="preserve">    On Error GoTo Hata</t>
        </is>
      </c>
    </row>
    <row r="90">
      <c r="A90" s="69" t="n">
        <v>86</v>
      </c>
      <c r="B90" s="67" t="inlineStr">
        <is>
          <t xml:space="preserve">    Dim ws As Worksheet, pdf As String, sonuc As String</t>
        </is>
      </c>
    </row>
    <row r="91">
      <c r="A91" s="69" t="n">
        <v>87</v>
      </c>
      <c r="B91" s="67" t="inlineStr">
        <is>
          <t xml:space="preserve">    Dim eskiA As Variant, eskiI As Variant, hataNo As Long, hataAciklama As String</t>
        </is>
      </c>
    </row>
    <row r="92">
      <c r="A92" s="69" t="n">
        <v>88</v>
      </c>
      <c r="B92" s="67" t="inlineStr">
        <is>
          <t xml:space="preserve">    Set ws = ThisWorkbook.Worksheets("Teklif Formu")</t>
        </is>
      </c>
    </row>
    <row r="93">
      <c r="A93" s="69" t="n">
        <v>89</v>
      </c>
      <c r="B93" s="67" t="inlineStr">
        <is>
          <t xml:space="preserve">    eskiA = ws.Range("A30").Value</t>
        </is>
      </c>
    </row>
    <row r="94">
      <c r="A94" s="69" t="n">
        <v>90</v>
      </c>
      <c r="B94" s="67" t="inlineStr">
        <is>
          <t xml:space="preserve">    eskiI = ws.Range("I30").Value</t>
        </is>
      </c>
    </row>
    <row r="95">
      <c r="A95" s="69" t="n">
        <v>91</v>
      </c>
      <c r="B95" s="67" t="inlineStr">
        <is>
          <t xml:space="preserve">    If TemizTelefonV5("0532 123 45 67") &lt;&gt; ("90" &amp; "532" &amp; "123" &amp; "4567") Then Err.Raise vbObjectError + 210, , "Telefon testi başarısız."</t>
        </is>
      </c>
    </row>
    <row r="96">
      <c r="A96" s="69" t="n">
        <v>92</v>
      </c>
      <c r="B96" s="67" t="inlineStr">
        <is>
          <t xml:space="preserve">    If DosyaAdiTemizleV5("T:1/2?*") &lt;&gt; "T-1-2--" Then Err.Raise vbObjectError + 211, , "Dosya adı testi başarısız."</t>
        </is>
      </c>
    </row>
    <row r="97">
      <c r="A97" s="69" t="n">
        <v>93</v>
      </c>
      <c r="B97" s="67" t="inlineStr">
        <is>
          <t xml:space="preserve">    ws.Range("A30").Value = "Y.S. HELYUM GAZI"</t>
        </is>
      </c>
    </row>
    <row r="98">
      <c r="A98" s="69" t="n">
        <v>94</v>
      </c>
      <c r="B98" s="67" t="inlineStr">
        <is>
          <t xml:space="preserve">    ws.Range("I30").Value = "USD"</t>
        </is>
      </c>
    </row>
    <row r="99">
      <c r="A99" s="69" t="n">
        <v>95</v>
      </c>
      <c r="B99" s="67" t="inlineStr">
        <is>
          <t xml:space="preserve">    Application.CalculateFull</t>
        </is>
      </c>
    </row>
    <row r="100">
      <c r="A100" s="69" t="n">
        <v>96</v>
      </c>
      <c r="B100" s="67" t="inlineStr">
        <is>
          <t xml:space="preserve">    If ws.Range("B30").Value &lt;&gt; 200 Then Err.Raise vbObjectError + 212, , "Ürün BAR formülü testi başarısız."</t>
        </is>
      </c>
    </row>
    <row r="101">
      <c r="A101" s="69" t="n">
        <v>97</v>
      </c>
      <c r="B101" s="67" t="inlineStr">
        <is>
          <t xml:space="preserve">    If Abs(ws.Range("C30").Value - 9.2) &gt; 0.0001 Then Err.Raise vbObjectError + 213, , "Gaz miktarı formülü testi başarısız."</t>
        </is>
      </c>
    </row>
    <row r="102">
      <c r="A102" s="69" t="n">
        <v>98</v>
      </c>
      <c r="B102" s="67" t="inlineStr">
        <is>
          <t xml:space="preserve">    If ws.Range("J30").Value &lt;= 1 Then Err.Raise vbObjectError + 214, , "Kur formülü testi başarısız."</t>
        </is>
      </c>
    </row>
    <row r="103">
      <c r="A103" s="69" t="n">
        <v>99</v>
      </c>
      <c r="B103" s="67" t="inlineStr">
        <is>
          <t xml:space="preserve">    ws.Range("A30").Value = eskiA</t>
        </is>
      </c>
    </row>
    <row r="104">
      <c r="A104" s="69" t="n">
        <v>100</v>
      </c>
      <c r="B104" s="67" t="inlineStr">
        <is>
          <t xml:space="preserve">    ws.Range("I30").Value = eskiI</t>
        </is>
      </c>
    </row>
    <row r="105">
      <c r="A105" s="69" t="n">
        <v>101</v>
      </c>
      <c r="B105" s="67" t="inlineStr">
        <is>
          <t xml:space="preserve">    Application.CalculateFull</t>
        </is>
      </c>
    </row>
    <row r="106">
      <c r="A106" s="69" t="n">
        <v>102</v>
      </c>
      <c r="B106" s="67" t="inlineStr">
        <is>
          <t xml:space="preserve">    pdf = Environ$("TEMP") &amp; "\Teklif_PDF_Test.pdf"</t>
        </is>
      </c>
    </row>
    <row r="107">
      <c r="A107" s="69" t="n">
        <v>103</v>
      </c>
      <c r="B107" s="67" t="inlineStr">
        <is>
          <t xml:space="preserve">    ws.ExportAsFixedFormat Type:=xlTypePDF, FileName:=pdf, Quality:=xlQualityStandard, IncludeDocProperties:=True, IgnorePrintAreas:=False, OpenAfterPublish:=False</t>
        </is>
      </c>
    </row>
    <row r="108">
      <c r="A108" s="69" t="n">
        <v>104</v>
      </c>
      <c r="B108" s="67" t="inlineStr">
        <is>
          <t xml:space="preserve">    If Len(Dir$(pdf)) = 0 Then Err.Raise vbObjectError + 215, , "PDF oluşturma testi başarısız."</t>
        </is>
      </c>
    </row>
    <row r="109">
      <c r="A109" s="69" t="n">
        <v>105</v>
      </c>
      <c r="B109" s="67" t="inlineStr">
        <is>
          <t xml:space="preserve">    DosyayiPanoyaKopyalaV5 pdf</t>
        </is>
      </c>
    </row>
    <row r="110">
      <c r="A110" s="69" t="n">
        <v>106</v>
      </c>
      <c r="B110" s="67" t="inlineStr">
        <is>
          <t xml:space="preserve">    sonuc = "Tüm testler başarılı:" &amp; vbCrLf &amp; _</t>
        </is>
      </c>
    </row>
    <row r="111">
      <c r="A111" s="69" t="n">
        <v>107</v>
      </c>
      <c r="B111" s="67" t="inlineStr">
        <is>
          <t xml:space="preserve">             "• Telefon ve dosya adı" &amp; vbCrLf &amp; _</t>
        </is>
      </c>
    </row>
    <row r="112">
      <c r="A112" s="69" t="n">
        <v>108</v>
      </c>
      <c r="B112" s="67" t="inlineStr">
        <is>
          <t xml:space="preserve">             "• Ürün, gaz ve kur formülleri" &amp; vbCrLf &amp; _</t>
        </is>
      </c>
    </row>
    <row r="113">
      <c r="A113" s="69" t="n">
        <v>109</v>
      </c>
      <c r="B113" s="67" t="inlineStr">
        <is>
          <t xml:space="preserve">             "• A4 PDF oluşturma" &amp; vbCrLf &amp; _</t>
        </is>
      </c>
    </row>
    <row r="114">
      <c r="A114" s="69" t="n">
        <v>110</v>
      </c>
      <c r="B114" s="67" t="inlineStr">
        <is>
          <t xml:space="preserve">             "• PDF'yi Windows panosuna alma" &amp; vbCrLf &amp; _</t>
        </is>
      </c>
    </row>
    <row r="115">
      <c r="A115" s="69" t="n">
        <v>111</v>
      </c>
      <c r="B115" s="67" t="inlineStr">
        <is>
          <t xml:space="preserve">             "Sürüm: " &amp; MAKRO_SURUMU</t>
        </is>
      </c>
    </row>
    <row r="116">
      <c r="A116" s="69" t="n">
        <v>112</v>
      </c>
      <c r="B116" s="67" t="inlineStr">
        <is>
          <t xml:space="preserve">    MsgBox sonuc, vbInformation</t>
        </is>
      </c>
    </row>
    <row r="117">
      <c r="A117" s="69" t="n">
        <v>113</v>
      </c>
      <c r="B117" s="67" t="inlineStr">
        <is>
          <t xml:space="preserve">    Exit Sub</t>
        </is>
      </c>
    </row>
    <row r="118">
      <c r="A118" s="69" t="n">
        <v>114</v>
      </c>
      <c r="B118" s="67" t="inlineStr">
        <is>
          <t>Hata:</t>
        </is>
      </c>
    </row>
    <row r="119">
      <c r="A119" s="69" t="n">
        <v>115</v>
      </c>
      <c r="B119" s="67" t="inlineStr">
        <is>
          <t xml:space="preserve">    hataNo = Err.Number</t>
        </is>
      </c>
    </row>
    <row r="120">
      <c r="A120" s="69" t="n">
        <v>116</v>
      </c>
      <c r="B120" s="67" t="inlineStr">
        <is>
          <t xml:space="preserve">    hataAciklama = Err.Description</t>
        </is>
      </c>
    </row>
    <row r="121">
      <c r="A121" s="69" t="n">
        <v>117</v>
      </c>
      <c r="B121" s="67" t="inlineStr">
        <is>
          <t xml:space="preserve">    On Error Resume Next</t>
        </is>
      </c>
    </row>
    <row r="122">
      <c r="A122" s="69" t="n">
        <v>118</v>
      </c>
      <c r="B122" s="67" t="inlineStr">
        <is>
          <t xml:space="preserve">    If Not ws Is Nothing Then</t>
        </is>
      </c>
    </row>
    <row r="123">
      <c r="A123" s="69" t="n">
        <v>119</v>
      </c>
      <c r="B123" s="67" t="inlineStr">
        <is>
          <t xml:space="preserve">            ws.Range("A30").Value = eskiA</t>
        </is>
      </c>
    </row>
    <row r="124">
      <c r="A124" s="69" t="n">
        <v>120</v>
      </c>
      <c r="B124" s="67" t="inlineStr">
        <is>
          <t xml:space="preserve">            ws.Range("I30").Value = eskiI</t>
        </is>
      </c>
    </row>
    <row r="125">
      <c r="A125" s="69" t="n">
        <v>121</v>
      </c>
      <c r="B125" s="67" t="inlineStr">
        <is>
          <t xml:space="preserve">        Application.CalculateFull</t>
        </is>
      </c>
    </row>
    <row r="126">
      <c r="A126" s="69" t="n">
        <v>122</v>
      </c>
      <c r="B126" s="67" t="n"/>
    </row>
    <row r="127">
      <c r="A127" s="69" t="n">
        <v>123</v>
      </c>
      <c r="B127" s="67" t="inlineStr">
        <is>
          <t xml:space="preserve">    End If</t>
        </is>
      </c>
    </row>
    <row r="128">
      <c r="A128" s="69" t="n">
        <v>124</v>
      </c>
      <c r="B128" s="67" t="inlineStr">
        <is>
          <t xml:space="preserve">    MsgBox "Fonksiyon testi başarısız." &amp; vbCrLf &amp; "Sürüm: " &amp; MAKRO_SURUMU &amp; vbCrLf &amp; "Hata " &amp; hataNo &amp; ": " &amp; hataAciklama, vbExclamation</t>
        </is>
      </c>
    </row>
    <row r="129">
      <c r="A129" s="69" t="n">
        <v>125</v>
      </c>
      <c r="B129" s="67" t="inlineStr">
        <is>
          <t>End Sub</t>
        </is>
      </c>
    </row>
    <row r="130">
      <c r="A130" s="69" t="n">
        <v>126</v>
      </c>
      <c r="B130" s="67" t="n"/>
    </row>
    <row r="131">
      <c r="A131" s="69" t="n">
        <v>127</v>
      </c>
      <c r="B131" s="67" t="inlineStr">
        <is>
          <t>Private Function TemizTelefonV5(ByVal metin As String) As String</t>
        </is>
      </c>
    </row>
    <row r="132">
      <c r="A132" s="69" t="n">
        <v>128</v>
      </c>
      <c r="B132" s="67" t="inlineStr">
        <is>
          <t xml:space="preserve">    Dim i As Long, ch As String, sonuc As String</t>
        </is>
      </c>
    </row>
    <row r="133">
      <c r="A133" s="69" t="n">
        <v>129</v>
      </c>
      <c r="B133" s="67" t="inlineStr">
        <is>
          <t xml:space="preserve">    For i = 1 To Len(metin)</t>
        </is>
      </c>
    </row>
    <row r="134">
      <c r="A134" s="69" t="n">
        <v>130</v>
      </c>
      <c r="B134" s="67" t="inlineStr">
        <is>
          <t xml:space="preserve">        ch = Mid$(metin, i, 1)</t>
        </is>
      </c>
    </row>
    <row r="135">
      <c r="A135" s="69" t="n">
        <v>131</v>
      </c>
      <c r="B135" s="67" t="inlineStr">
        <is>
          <t xml:space="preserve">        If ch Like "#" Then sonuc = sonuc &amp; ch</t>
        </is>
      </c>
    </row>
    <row r="136">
      <c r="A136" s="69" t="n">
        <v>132</v>
      </c>
      <c r="B136" s="67" t="inlineStr">
        <is>
          <t xml:space="preserve">    Next i</t>
        </is>
      </c>
    </row>
    <row r="137">
      <c r="A137" s="69" t="n">
        <v>133</v>
      </c>
      <c r="B137" s="67" t="inlineStr">
        <is>
          <t xml:space="preserve">    If Left$(sonuc, 2) = "05" Then sonuc = "90" &amp; Mid$(sonuc, 2)</t>
        </is>
      </c>
    </row>
    <row r="138">
      <c r="A138" s="69" t="n">
        <v>134</v>
      </c>
      <c r="B138" s="67" t="inlineStr">
        <is>
          <t xml:space="preserve">    If Len(sonuc) = 10 And Left$(sonuc, 1) = "5" Then sonuc = "90" &amp; sonuc</t>
        </is>
      </c>
    </row>
    <row r="139">
      <c r="A139" s="69" t="n">
        <v>135</v>
      </c>
      <c r="B139" s="67" t="inlineStr">
        <is>
          <t xml:space="preserve">    TemizTelefonV5 = sonuc</t>
        </is>
      </c>
    </row>
    <row r="140">
      <c r="A140" s="69" t="n">
        <v>136</v>
      </c>
      <c r="B140" s="67" t="inlineStr">
        <is>
          <t>End Function</t>
        </is>
      </c>
    </row>
    <row r="141">
      <c r="A141" s="69" t="n">
        <v>137</v>
      </c>
      <c r="B141" s="67" t="n"/>
    </row>
    <row r="142">
      <c r="A142" s="69" t="n">
        <v>138</v>
      </c>
      <c r="B142" s="67" t="inlineStr">
        <is>
          <t>Private Function DosyaAdiTemizleV5(ByVal metin As String) As String</t>
        </is>
      </c>
    </row>
    <row r="143">
      <c r="A143" s="69" t="n">
        <v>139</v>
      </c>
      <c r="B143" s="67" t="inlineStr">
        <is>
          <t xml:space="preserve">    Dim yasak As Variant, x As Variant</t>
        </is>
      </c>
    </row>
    <row r="144">
      <c r="A144" s="69" t="n">
        <v>140</v>
      </c>
      <c r="B144" s="67" t="inlineStr">
        <is>
          <t xml:space="preserve">    If Len(Trim$(metin)) = 0 Then metin = "Numarasiz"</t>
        </is>
      </c>
    </row>
    <row r="145">
      <c r="A145" s="69" t="n">
        <v>141</v>
      </c>
      <c r="B145" s="67" t="inlineStr">
        <is>
          <t xml:space="preserve">    yasak = Array("\", "/", ":", "*", "?", Chr$(34), "&lt;", "&gt;", "|")</t>
        </is>
      </c>
    </row>
    <row r="146">
      <c r="A146" s="69" t="n">
        <v>142</v>
      </c>
      <c r="B146" s="67" t="inlineStr">
        <is>
          <t xml:space="preserve">    For Each x In yasak</t>
        </is>
      </c>
    </row>
    <row r="147">
      <c r="A147" s="69" t="n">
        <v>143</v>
      </c>
      <c r="B147" s="67" t="inlineStr">
        <is>
          <t xml:space="preserve">        metin = Replace(metin, CStr(x), "-")</t>
        </is>
      </c>
    </row>
    <row r="148">
      <c r="A148" s="69" t="n">
        <v>144</v>
      </c>
      <c r="B148" s="67" t="inlineStr">
        <is>
          <t xml:space="preserve">    Next x</t>
        </is>
      </c>
    </row>
    <row r="149">
      <c r="A149" s="69" t="n">
        <v>145</v>
      </c>
      <c r="B149" s="67" t="inlineStr">
        <is>
          <t xml:space="preserve">    DosyaAdiTemizleV5 = Trim$(metin)</t>
        </is>
      </c>
    </row>
    <row r="150">
      <c r="A150" s="69" t="n">
        <v>146</v>
      </c>
      <c r="B150" s="67" t="inlineStr">
        <is>
          <t>End Function</t>
        </is>
      </c>
    </row>
    <row r="151">
      <c r="A151" s="69" t="n"/>
      <c r="B151" s="67" t="n"/>
    </row>
    <row r="152">
      <c r="A152" s="69" t="n"/>
      <c r="B152" s="67" t="n"/>
    </row>
    <row r="153">
      <c r="A153" s="69" t="n"/>
      <c r="B153" s="67" t="n"/>
    </row>
    <row r="154">
      <c r="A154" s="69" t="n"/>
      <c r="B154" s="67" t="n"/>
    </row>
    <row r="155">
      <c r="A155" s="69" t="n"/>
      <c r="B155" s="67" t="n"/>
    </row>
    <row r="156">
      <c r="A156" s="69" t="n"/>
      <c r="B156" s="67" t="n"/>
    </row>
    <row r="157">
      <c r="A157" s="69" t="n"/>
      <c r="B157" s="67" t="n"/>
    </row>
    <row r="158">
      <c r="A158" s="69" t="n"/>
      <c r="B158" s="67" t="n"/>
    </row>
    <row r="159">
      <c r="A159" s="69" t="n"/>
      <c r="B159" s="67" t="n"/>
    </row>
    <row r="160">
      <c r="A160" s="69" t="n"/>
      <c r="B160" s="67" t="n"/>
    </row>
    <row r="161">
      <c r="A161" s="69" t="n"/>
      <c r="B161" s="67" t="n"/>
    </row>
    <row r="162">
      <c r="A162" s="69" t="n"/>
      <c r="B162" s="67" t="n"/>
    </row>
    <row r="164">
      <c r="A164" s="74" t="inlineStr">
        <is>
          <t>KONTROL</t>
        </is>
      </c>
      <c r="B164" s="74" t="inlineStr">
        <is>
          <t>DOĞRU DEĞER</t>
        </is>
      </c>
    </row>
    <row r="165">
      <c r="A165" s="220" t="inlineStr">
        <is>
          <t>Çalıştırılacak test</t>
        </is>
      </c>
      <c r="B165" s="76" t="inlineStr">
        <is>
          <t>TumFonksiyonlariTestEtV5</t>
        </is>
      </c>
    </row>
    <row r="166">
      <c r="A166" s="220" t="inlineStr">
        <is>
          <t>Çalıştırılmayacak eski test</t>
        </is>
      </c>
      <c r="B166" s="76" t="inlineStr">
        <is>
          <t>TumFonksiyonlariTestEt</t>
        </is>
      </c>
    </row>
    <row r="167">
      <c r="A167" s="220" t="inlineStr">
        <is>
          <t>Beklenen sürüm mesajı</t>
        </is>
      </c>
      <c r="B167" s="76" t="inlineStr">
        <is>
          <t>2026.09.27-v5</t>
        </is>
      </c>
    </row>
    <row r="168">
      <c r="A168" s="220" t="inlineStr">
        <is>
          <t>Kod aralığı</t>
        </is>
      </c>
      <c r="B168" s="76" t="inlineStr">
        <is>
          <t>B5:B150</t>
        </is>
      </c>
    </row>
    <row r="169">
      <c r="A169" s="220" t="inlineStr">
        <is>
          <t>1004 devam ederse</t>
        </is>
      </c>
      <c r="B169" s="76" t="inlineStr">
        <is>
          <t>VBA Düzenleyici → Araçlar → Seçenekler → Genel → Hata Yakalama: İşlenmeyen Hatalarda Dur</t>
        </is>
      </c>
    </row>
  </sheetData>
  <mergeCells count="2">
    <mergeCell ref="A1:B2"/>
    <mergeCell ref="A3:B3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>
  <sheetPr codeName="Sayfa26">
    <outlinePr summaryBelow="1" summaryRight="1"/>
    <pageSetUpPr/>
  </sheetPr>
  <dimension ref="A1:F15"/>
  <sheetViews>
    <sheetView zoomScale="90" zoomScaleNormal="90" workbookViewId="0">
      <selection activeCell="D12" sqref="D12:F12"/>
    </sheetView>
  </sheetViews>
  <sheetFormatPr baseColWidth="8" defaultRowHeight="15"/>
  <cols>
    <col width="10.42578125" customWidth="1" style="164" min="1" max="1"/>
    <col width="29.5703125" customWidth="1" style="164" min="2" max="2"/>
    <col width="41.85546875" customWidth="1" style="164" min="3" max="3"/>
    <col width="21.85546875" customWidth="1" style="164" min="4" max="5"/>
    <col width="49" customWidth="1" style="164" min="6" max="6"/>
  </cols>
  <sheetData>
    <row r="1" ht="24" customHeight="1" s="164">
      <c r="A1" s="245" t="inlineStr">
        <is>
          <t>TAM OTOMASYON KURULUM REHBERİ</t>
        </is>
      </c>
    </row>
    <row r="2">
      <c r="A2" s="246" t="inlineStr">
        <is>
          <t>Excel içinde uygulanabilir ayarlar ve sistem sınırları</t>
        </is>
      </c>
    </row>
    <row r="3">
      <c r="A3" s="70" t="inlineStr">
        <is>
          <t>ADIM</t>
        </is>
      </c>
      <c r="B3" s="70" t="inlineStr">
        <is>
          <t>İŞLEM</t>
        </is>
      </c>
      <c r="C3" s="70" t="inlineStr">
        <is>
          <t>MENÜ / KISAYOL</t>
        </is>
      </c>
      <c r="D3" s="70" t="inlineStr">
        <is>
          <t>AÇIKLAMA</t>
        </is>
      </c>
      <c r="E3" s="70" t="inlineStr">
        <is>
          <t>DURUM</t>
        </is>
      </c>
      <c r="F3" s="70" t="n"/>
    </row>
    <row r="4">
      <c r="A4" s="243" t="n">
        <v>1</v>
      </c>
      <c r="B4" s="243" t="inlineStr">
        <is>
          <t>Dosya biçimini kontrol edin</t>
        </is>
      </c>
      <c r="C4" s="243" t="inlineStr">
        <is>
          <t>Dosya → Farklı Kaydet</t>
        </is>
      </c>
      <c r="D4" s="243" t="inlineStr">
        <is>
          <t>Dosya türü Excel Makro Etkin Çalışma Kitabı (*.xlsm) olmalıdır.</t>
        </is>
      </c>
    </row>
    <row r="5" ht="30" customHeight="1" s="164">
      <c r="A5" s="243" t="n">
        <v>2</v>
      </c>
      <c r="B5" s="243" t="inlineStr">
        <is>
          <t>Makro bildirimini açın</t>
        </is>
      </c>
      <c r="C5" s="243" t="inlineStr">
        <is>
          <t>Dosya → Seçenekler → Güven Merkezi → Makro Ayarları</t>
        </is>
      </c>
      <c r="D5" s="243" t="inlineStr">
        <is>
          <t>VBA makrolarını bildirimle devre dışı bırak seçeneğini kullanın.</t>
        </is>
      </c>
    </row>
    <row r="6">
      <c r="A6" s="243" t="n">
        <v>3</v>
      </c>
      <c r="B6" s="243" t="inlineStr">
        <is>
          <t>VBA proje erişimini açın</t>
        </is>
      </c>
      <c r="C6" s="243" t="inlineStr">
        <is>
          <t>Makro Ayarları</t>
        </is>
      </c>
      <c r="D6" s="243" t="inlineStr">
        <is>
          <t>VBA proje nesne modeline güven kutusunu işaretleyin.</t>
        </is>
      </c>
    </row>
    <row r="7">
      <c r="A7" s="243" t="n">
        <v>4</v>
      </c>
      <c r="B7" s="243" t="inlineStr">
        <is>
          <t>Güvenilen klasör ekleyin</t>
        </is>
      </c>
      <c r="C7" s="243" t="inlineStr">
        <is>
          <t>Güven Merkezi → Güvenilen Konumlar</t>
        </is>
      </c>
      <c r="D7" s="243" t="inlineStr">
        <is>
          <t>Yalnızca bu dosya için kullandığınız klasörü güvenilen konum yapın.</t>
        </is>
      </c>
    </row>
    <row r="8">
      <c r="A8" s="243" t="n">
        <v>5</v>
      </c>
      <c r="B8" s="243" t="inlineStr">
        <is>
          <t>Dosyayı yeniden açın</t>
        </is>
      </c>
      <c r="C8" s="243" t="inlineStr">
        <is>
          <t>Excel’i kapatıp yeniden açın</t>
        </is>
      </c>
      <c r="D8" s="243" t="inlineStr">
        <is>
          <t>Sarı güvenlik çubuğunda İçeriği Etkinleştir seçeneğini kullanın.</t>
        </is>
      </c>
    </row>
    <row r="9">
      <c r="A9" s="243" t="n">
        <v>6</v>
      </c>
      <c r="B9" s="243" t="inlineStr">
        <is>
          <t>Kodları ayrı modüllere koyun</t>
        </is>
      </c>
      <c r="C9" s="243" t="inlineStr">
        <is>
          <t>Alt+F11 → Ekle → Modül</t>
        </is>
      </c>
      <c r="D9" s="243" t="inlineStr">
        <is>
          <t>Kur, WhatsApp, PDF, Outlook ve Yönetim kodlarını ayrı standart modüllerde tutun.</t>
        </is>
      </c>
    </row>
    <row r="10">
      <c r="A10" s="243" t="n">
        <v>7</v>
      </c>
      <c r="B10" s="243" t="inlineStr">
        <is>
          <t>Projeyi derleyin</t>
        </is>
      </c>
      <c r="C10" s="243" t="inlineStr">
        <is>
          <t>Hata Ayıklama → VBAProject Derle</t>
        </is>
      </c>
      <c r="D10" s="243" t="inlineStr">
        <is>
          <t>Derleme hatası çıkarsa aynı isimli eski yordam/modül kalmış olabilir.</t>
        </is>
      </c>
    </row>
    <row r="11">
      <c r="A11" s="243" t="n">
        <v>8</v>
      </c>
      <c r="B11" s="243" t="inlineStr">
        <is>
          <t>Düğmeleri bağlayın</t>
        </is>
      </c>
      <c r="C11" s="243" t="inlineStr">
        <is>
          <t>Alt+F8</t>
        </is>
      </c>
      <c r="D11" s="243" t="inlineStr">
        <is>
          <t>PDFDugmesiniBaglaV2, OutlookDugmesiniBaglaV1 ve YonetimDugmeleriniBaglaV2 makrolarını çalıştırın.</t>
        </is>
      </c>
    </row>
    <row r="12">
      <c r="A12" s="243" t="n">
        <v>9</v>
      </c>
      <c r="B12" s="243" t="inlineStr">
        <is>
          <t>Testleri çalıştırın</t>
        </is>
      </c>
      <c r="C12" s="243" t="inlineStr">
        <is>
          <t>Alt+F8</t>
        </is>
      </c>
      <c r="D12" s="243" t="inlineStr">
        <is>
          <t>TumFonksiyonlariTestEtV5, PDFKaydetTestiV2 ve OutlookPDFTestiV1 makrolarını çalıştırın.</t>
        </is>
      </c>
    </row>
    <row r="13">
      <c r="A13" s="243" t="n">
        <v>10</v>
      </c>
      <c r="B13" s="243" t="inlineStr">
        <is>
          <t>Tam otomasyon sınırı</t>
        </is>
      </c>
      <c r="C13" s="243" t="inlineStr">
        <is>
          <t>Yerel eklenti / Power Automate Desktop</t>
        </is>
      </c>
      <c r="D13" s="243" t="inlineStr">
        <is>
          <t>Bu sohbet bağlantısı VBA modülüne kod yazamaz veya masaüstü makrosu çalıştıramaz.</t>
        </is>
      </c>
    </row>
    <row r="14">
      <c r="A14" s="72" t="inlineStr">
        <is>
          <t>ÖNEMLİ</t>
        </is>
      </c>
      <c r="B14" s="247" t="inlineStr">
        <is>
          <t>Tam otomasyon için gereken</t>
        </is>
      </c>
      <c r="C14" s="247" t="inlineStr">
        <is>
          <t>VBProject kod yazma + Application.Run + yerel dosya sistemi erişimi sunan imzalı XLAM/COM eklentisi veya masaüstü ajanı.</t>
        </is>
      </c>
    </row>
    <row r="15" ht="30" customHeight="1" s="164">
      <c r="A15" s="72" t="inlineStr">
        <is>
          <t>GÜVENLİK</t>
        </is>
      </c>
      <c r="B15" s="247" t="inlineStr">
        <is>
          <t>Önerilen ayar</t>
        </is>
      </c>
      <c r="C15" s="247" t="inlineStr">
        <is>
          <t>Tüm makroları etkinleştirmeyin.</t>
        </is>
      </c>
    </row>
  </sheetData>
  <mergeCells count="14">
    <mergeCell ref="A2:F2"/>
    <mergeCell ref="D11:F11"/>
    <mergeCell ref="D13:F13"/>
    <mergeCell ref="D5:F5"/>
    <mergeCell ref="A1:F1"/>
    <mergeCell ref="D4:F4"/>
    <mergeCell ref="D12:F12"/>
    <mergeCell ref="D9:F9"/>
    <mergeCell ref="C15:F15"/>
    <mergeCell ref="D7:F7"/>
    <mergeCell ref="D8:F8"/>
    <mergeCell ref="D6:F6"/>
    <mergeCell ref="C14:F14"/>
    <mergeCell ref="D10:F10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>
  <sheetPr codeName="Sayfa27">
    <outlinePr summaryBelow="1" summaryRight="1"/>
    <pageSetUpPr/>
  </sheetPr>
  <dimension ref="A1:B86"/>
  <sheetViews>
    <sheetView topLeftCell="B81" workbookViewId="0">
      <selection activeCell="B5" sqref="B5:B84"/>
    </sheetView>
  </sheetViews>
  <sheetFormatPr baseColWidth="8" defaultRowHeight="15"/>
  <cols>
    <col width="8.5703125" customWidth="1" style="164" min="1" max="1"/>
    <col width="190.42578125" customWidth="1" style="164" min="2" max="2"/>
  </cols>
  <sheetData>
    <row r="1">
      <c r="A1" s="248" t="inlineStr">
        <is>
          <t>KUR MAKROSU v3 — EKSİKSİZ KOPYALAMA</t>
        </is>
      </c>
    </row>
    <row r="2"/>
    <row r="3">
      <c r="A3" s="242" t="inlineStr">
        <is>
          <t>B5:B84 aralığını Mod_Kur adlı standart modüle yapıştırın. Önce eski kur modülünü silin.</t>
        </is>
      </c>
    </row>
    <row r="4">
      <c r="A4" s="68" t="inlineStr">
        <is>
          <t>Satır</t>
        </is>
      </c>
      <c r="B4" s="68" t="inlineStr">
        <is>
          <t>VBA Kodu</t>
        </is>
      </c>
    </row>
    <row r="5">
      <c r="A5" s="73" t="n">
        <v>1</v>
      </c>
      <c r="B5" s="67" t="inlineStr">
        <is>
          <t>Option Explicit</t>
        </is>
      </c>
    </row>
    <row r="6">
      <c r="A6" s="73" t="n">
        <v>2</v>
      </c>
      <c r="B6" s="67" t="n"/>
    </row>
    <row r="7">
      <c r="A7" s="73" t="n">
        <v>3</v>
      </c>
      <c r="B7" s="67" t="inlineStr">
        <is>
          <t>Private Const KUR_URL As String = "https://www.isbank.com.tr/doviz-kurlari"</t>
        </is>
      </c>
    </row>
    <row r="8">
      <c r="A8" s="73" t="n">
        <v>4</v>
      </c>
      <c r="B8" s="67" t="inlineStr">
        <is>
          <t>Private Const KUR_SURUMU As String = "2026.09.27-v6"</t>
        </is>
      </c>
    </row>
    <row r="9">
      <c r="A9" s="73" t="n">
        <v>5</v>
      </c>
      <c r="B9" s="67" t="n"/>
    </row>
    <row r="10">
      <c r="A10" s="73" t="n">
        <v>6</v>
      </c>
      <c r="B10" s="67" t="inlineStr">
        <is>
          <t>Private Sub IsBankasiKurlariCekirdekV6(ByVal Sessiz As Boolean)</t>
        </is>
      </c>
    </row>
    <row r="11">
      <c r="A11" s="73" t="n">
        <v>7</v>
      </c>
      <c r="B11" s="67" t="inlineStr">
        <is>
          <t xml:space="preserve">    On Error GoTo Hata</t>
        </is>
      </c>
    </row>
    <row r="12">
      <c r="A12" s="73" t="n">
        <v>8</v>
      </c>
      <c r="B12" s="67" t="inlineStr">
        <is>
          <t xml:space="preserve">    Dim req As Object, ws As Worksheet</t>
        </is>
      </c>
    </row>
    <row r="13">
      <c r="A13" s="73" t="n">
        <v>9</v>
      </c>
      <c r="B13" s="67" t="inlineStr">
        <is>
          <t xml:space="preserve">    Dim kodlar As Variant, kurlar(0 To 2) As Double</t>
        </is>
      </c>
    </row>
    <row r="14">
      <c r="A14" s="73" t="n">
        <v>10</v>
      </c>
      <c r="B14" s="67" t="inlineStr">
        <is>
          <t xml:space="preserve">    Dim satir As Variant, i As Long</t>
        </is>
      </c>
    </row>
    <row r="15">
      <c r="A15" s="73" t="n">
        <v>11</v>
      </c>
      <c r="B15" s="67" t="n"/>
    </row>
    <row r="16">
      <c r="A16" s="73" t="n">
        <v>12</v>
      </c>
      <c r="B16" s="67" t="inlineStr">
        <is>
          <t xml:space="preserve">    Application.ScreenUpdating = False</t>
        </is>
      </c>
    </row>
    <row r="17">
      <c r="A17" s="73" t="n">
        <v>13</v>
      </c>
      <c r="B17" s="67" t="inlineStr">
        <is>
          <t xml:space="preserve">    Application.StatusBar = "İş Bankası döviz satış kurları alınıyor..."</t>
        </is>
      </c>
    </row>
    <row r="18">
      <c r="A18" s="73" t="n">
        <v>14</v>
      </c>
      <c r="B18" s="67" t="inlineStr">
        <is>
          <t xml:space="preserve">    Set ws = ThisWorkbook.Worksheets("Kur Bilgisi")</t>
        </is>
      </c>
    </row>
    <row r="19">
      <c r="A19" s="73" t="n">
        <v>15</v>
      </c>
      <c r="B19" s="67" t="inlineStr">
        <is>
          <t xml:space="preserve">    Set req = CreateObject("MSXML2.ServerXMLHTTP.6.0")</t>
        </is>
      </c>
    </row>
    <row r="20">
      <c r="A20" s="73" t="n">
        <v>16</v>
      </c>
      <c r="B20" s="67" t="inlineStr">
        <is>
          <t xml:space="preserve">    req.setTimeouts 5000, 5000, 10000, 10000</t>
        </is>
      </c>
    </row>
    <row r="21">
      <c r="A21" s="73" t="n">
        <v>17</v>
      </c>
      <c r="B21" s="67" t="inlineStr">
        <is>
          <t xml:space="preserve">    req.Open "GET", KUR_URL, False</t>
        </is>
      </c>
    </row>
    <row r="22">
      <c r="A22" s="73" t="n">
        <v>18</v>
      </c>
      <c r="B22" s="67" t="inlineStr">
        <is>
          <t xml:space="preserve">    req.setRequestHeader "User-Agent", "Mozilla/5.0"</t>
        </is>
      </c>
    </row>
    <row r="23">
      <c r="A23" s="73" t="n">
        <v>19</v>
      </c>
      <c r="B23" s="67" t="inlineStr">
        <is>
          <t xml:space="preserve">    req.send</t>
        </is>
      </c>
    </row>
    <row r="24">
      <c r="A24" s="73" t="n">
        <v>20</v>
      </c>
      <c r="B24" s="67" t="inlineStr">
        <is>
          <t xml:space="preserve">    If req.Status &lt;&gt; 200 Then Err.Raise vbObjectError + 100, , "HTTP hatası: " &amp; req.Status</t>
        </is>
      </c>
    </row>
    <row r="25">
      <c r="A25" s="73" t="n">
        <v>21</v>
      </c>
      <c r="B25" s="67" t="n"/>
    </row>
    <row r="26">
      <c r="A26" s="73" t="n">
        <v>22</v>
      </c>
      <c r="B26" s="67" t="n"/>
    </row>
    <row r="27">
      <c r="A27" s="73" t="n">
        <v>23</v>
      </c>
      <c r="B27" s="67" t="n"/>
    </row>
    <row r="28">
      <c r="A28" s="73" t="n">
        <v>24</v>
      </c>
      <c r="B28" s="67" t="inlineStr">
        <is>
          <t xml:space="preserve">    kodlar = Array("USD", "EUR", "GBP")</t>
        </is>
      </c>
    </row>
    <row r="29">
      <c r="A29" s="73" t="n">
        <v>25</v>
      </c>
      <c r="B29" s="67" t="n"/>
    </row>
    <row r="30">
      <c r="A30" s="73" t="n">
        <v>26</v>
      </c>
      <c r="B30" s="67" t="inlineStr">
        <is>
          <t xml:space="preserve">    For i = LBound(kodlar) To UBound(kodlar)</t>
        </is>
      </c>
    </row>
    <row r="31">
      <c r="A31" s="73" t="n">
        <v>27</v>
      </c>
      <c r="B31" s="67" t="inlineStr">
        <is>
          <t xml:space="preserve">        kurlar(i) = SatisKuruBulV6(CStr(req.responseText), CStr(kodlar(i)))</t>
        </is>
      </c>
    </row>
    <row r="32">
      <c r="A32" s="73" t="n">
        <v>28</v>
      </c>
      <c r="B32" s="67" t="inlineStr">
        <is>
          <t xml:space="preserve">        If kurlar(i) &lt; 1 Or kurlar(i) &gt; 1000 Then Err.Raise vbObjectError + 101, , kodlar(i) &amp; " satış kuru geçersiz: " &amp; kurlar(i)</t>
        </is>
      </c>
    </row>
    <row r="33">
      <c r="A33" s="73" t="n">
        <v>29</v>
      </c>
      <c r="B33" s="67" t="inlineStr">
        <is>
          <t xml:space="preserve">    Next i</t>
        </is>
      </c>
    </row>
    <row r="34">
      <c r="A34" s="73" t="n">
        <v>30</v>
      </c>
      <c r="B34" s="67" t="n"/>
    </row>
    <row r="35">
      <c r="A35" s="73" t="n">
        <v>31</v>
      </c>
      <c r="B35" s="67" t="inlineStr">
        <is>
          <t xml:space="preserve">    For i = LBound(kodlar) To UBound(kodlar)</t>
        </is>
      </c>
    </row>
    <row r="36">
      <c r="A36" s="73" t="n">
        <v>32</v>
      </c>
      <c r="B36" s="67" t="inlineStr">
        <is>
          <t xml:space="preserve">        satir = Application.Match(kodlar(i), ws.Range("A:A"), 0)</t>
        </is>
      </c>
    </row>
    <row r="37">
      <c r="A37" s="73" t="n">
        <v>33</v>
      </c>
      <c r="B37" s="67" t="inlineStr">
        <is>
          <t xml:space="preserve">        If IsError(satir) Then Err.Raise vbObjectError + 102, , kodlar(i) &amp; " satırı Kur Bilgisi sayfasında yok."</t>
        </is>
      </c>
    </row>
    <row r="38">
      <c r="A38" s="73" t="n">
        <v>34</v>
      </c>
      <c r="B38" s="67" t="inlineStr">
        <is>
          <t xml:space="preserve">        ws.Cells(CLng(satir), 3).Value = kurlar(i)</t>
        </is>
      </c>
    </row>
    <row r="39">
      <c r="A39" s="73" t="n">
        <v>35</v>
      </c>
      <c r="B39" s="67" t="inlineStr">
        <is>
          <t xml:space="preserve">        ws.Cells(CLng(satir), 4).Value = Now</t>
        </is>
      </c>
    </row>
    <row r="40">
      <c r="A40" s="73" t="n">
        <v>36</v>
      </c>
      <c r="B40" s="67" t="inlineStr">
        <is>
          <t xml:space="preserve">        ws.Cells(CLng(satir), 6).Value = "Otomatik yenilendi " &amp; KUR_SURUMU</t>
        </is>
      </c>
    </row>
    <row r="41">
      <c r="A41" s="73" t="n">
        <v>37</v>
      </c>
      <c r="B41" s="67" t="inlineStr">
        <is>
          <t xml:space="preserve">    Next i</t>
        </is>
      </c>
    </row>
    <row r="42">
      <c r="A42" s="73" t="n">
        <v>38</v>
      </c>
      <c r="B42" s="67" t="n"/>
    </row>
    <row r="43">
      <c r="A43" s="73" t="n">
        <v>39</v>
      </c>
      <c r="B43" s="67" t="inlineStr">
        <is>
          <t xml:space="preserve">    ws.Range("D6:D9").NumberFormat = "dd.mm.yyyy hh:mm"</t>
        </is>
      </c>
    </row>
    <row r="44">
      <c r="A44" s="73" t="n">
        <v>40</v>
      </c>
      <c r="B44" s="67" t="inlineStr">
        <is>
          <t xml:space="preserve">    Application.CalculateFull</t>
        </is>
      </c>
    </row>
    <row r="45">
      <c r="A45" s="73" t="n">
        <v>41</v>
      </c>
      <c r="B45" s="67" t="inlineStr">
        <is>
          <t xml:space="preserve">    Application.StatusBar = False</t>
        </is>
      </c>
    </row>
    <row r="46">
      <c r="A46" s="73" t="n">
        <v>42</v>
      </c>
      <c r="B46" s="67" t="inlineStr">
        <is>
          <t xml:space="preserve">    Application.ScreenUpdating = True</t>
        </is>
      </c>
    </row>
    <row r="47">
      <c r="A47" s="73" t="n">
        <v>43</v>
      </c>
      <c r="B47" s="67" t="inlineStr">
        <is>
          <t xml:space="preserve">    If Not Sessiz Then MsgBox "USD, EUR ve GBP satış kurları güncellendi." &amp; vbCrLf &amp; "Sürüm: " &amp; KUR_SURUMU, vbInformation</t>
        </is>
      </c>
    </row>
    <row r="48">
      <c r="A48" s="73" t="n">
        <v>44</v>
      </c>
      <c r="B48" s="67" t="inlineStr">
        <is>
          <t xml:space="preserve">    Exit Sub</t>
        </is>
      </c>
    </row>
    <row r="49">
      <c r="A49" s="73" t="n">
        <v>45</v>
      </c>
      <c r="B49" s="67" t="inlineStr">
        <is>
          <t>Hata:</t>
        </is>
      </c>
    </row>
    <row r="50">
      <c r="A50" s="73" t="n">
        <v>46</v>
      </c>
      <c r="B50" s="67" t="inlineStr">
        <is>
          <t xml:space="preserve">    Application.StatusBar = False</t>
        </is>
      </c>
    </row>
    <row r="51">
      <c r="A51" s="73" t="n">
        <v>47</v>
      </c>
      <c r="B51" s="67" t="inlineStr">
        <is>
          <t xml:space="preserve">    Application.ScreenUpdating = True</t>
        </is>
      </c>
    </row>
    <row r="52">
      <c r="A52" s="73" t="n">
        <v>48</v>
      </c>
      <c r="B52" s="67" t="inlineStr">
        <is>
          <t xml:space="preserve">    If Not Sessiz Then MsgBox "Kur güncellenemedi." &amp; vbCrLf &amp; "Sürüm: " &amp; KUR_SURUMU &amp; vbCrLf &amp; "Hata " &amp; Err.Number &amp; ": " &amp; Err.Description, vbExclamation</t>
        </is>
      </c>
    </row>
    <row r="53">
      <c r="A53" s="73" t="n">
        <v>49</v>
      </c>
      <c r="B53" s="67" t="inlineStr">
        <is>
          <t>End Sub</t>
        </is>
      </c>
    </row>
    <row r="54">
      <c r="A54" s="73" t="n">
        <v>50</v>
      </c>
      <c r="B54" s="67" t="n"/>
    </row>
    <row r="55">
      <c r="A55" s="73" t="n">
        <v>51</v>
      </c>
      <c r="B55" s="67" t="inlineStr">
        <is>
          <t>Private Function SatisKuruBulV6(ByVal html As String, ByVal kod As String) As Double</t>
        </is>
      </c>
    </row>
    <row r="56">
      <c r="A56" s="73" t="n">
        <v>52</v>
      </c>
      <c r="B56" s="67" t="inlineStr">
        <is>
          <t xml:space="preserve">    Dim re As Object, ms As Object, m As Object</t>
        </is>
      </c>
    </row>
    <row r="57">
      <c r="A57" s="73" t="n">
        <v>53</v>
      </c>
      <c r="B57" s="67" t="inlineStr">
        <is>
          <t xml:space="preserve">    Dim alis As Double, satis As Double</t>
        </is>
      </c>
    </row>
    <row r="58">
      <c r="A58" s="73" t="n">
        <v>54</v>
      </c>
      <c r="B58" s="67" t="inlineStr">
        <is>
          <t xml:space="preserve">    Set re = CreateObject("VBScript.RegExp")</t>
        </is>
      </c>
    </row>
    <row r="59">
      <c r="A59" s="73" t="n">
        <v>55</v>
      </c>
      <c r="B59" s="67" t="inlineStr">
        <is>
          <t xml:space="preserve">    With re</t>
        </is>
      </c>
    </row>
    <row r="60">
      <c r="A60" s="73" t="n">
        <v>56</v>
      </c>
      <c r="B60" s="67" t="inlineStr">
        <is>
          <t xml:space="preserve">        .Global = True</t>
        </is>
      </c>
    </row>
    <row r="61">
      <c r="A61" s="73" t="n">
        <v>57</v>
      </c>
      <c r="B61" s="67" t="inlineStr">
        <is>
          <t xml:space="preserve">        .IgnoreCase = True</t>
        </is>
      </c>
    </row>
    <row r="62">
      <c r="A62" s="73" t="n">
        <v>58</v>
      </c>
      <c r="B62" s="67" t="inlineStr">
        <is>
          <t xml:space="preserve">        .MultiLine = True</t>
        </is>
      </c>
    </row>
    <row r="63">
      <c r="A63" s="73" t="n">
        <v>59</v>
      </c>
      <c r="B63" s="67" t="inlineStr">
        <is>
          <t xml:space="preserve">        .Pattern = "\b" &amp; kod &amp; "\b[\s\S]{0,500}?([0-9]{1,3}[.,][0-9]{2,5})[\s\S]{0,200}?([0-9]{1,3}[.,][0-9]{2,5})"</t>
        </is>
      </c>
    </row>
    <row r="64">
      <c r="A64" s="73" t="n">
        <v>60</v>
      </c>
      <c r="B64" s="67" t="inlineStr">
        <is>
          <t xml:space="preserve">    End With</t>
        </is>
      </c>
    </row>
    <row r="65">
      <c r="A65" s="73" t="n">
        <v>61</v>
      </c>
      <c r="B65" s="67" t="inlineStr">
        <is>
          <t xml:space="preserve">    Set ms = re.Execute(html)</t>
        </is>
      </c>
    </row>
    <row r="66">
      <c r="A66" s="73" t="n">
        <v>62</v>
      </c>
      <c r="B66" s="67" t="inlineStr">
        <is>
          <t xml:space="preserve">    For Each m In ms</t>
        </is>
      </c>
    </row>
    <row r="67">
      <c r="A67" s="73" t="n">
        <v>63</v>
      </c>
      <c r="B67" s="67" t="inlineStr">
        <is>
          <t xml:space="preserve">        alis = YerelSayiyaCevirV3(CStr(m.SubMatches(0)))</t>
        </is>
      </c>
    </row>
    <row r="68">
      <c r="A68" s="73" t="n">
        <v>64</v>
      </c>
      <c r="B68" s="67" t="inlineStr">
        <is>
          <t xml:space="preserve">        satis = YerelSayiyaCevirV3(CStr(m.SubMatches(1)))</t>
        </is>
      </c>
    </row>
    <row r="69">
      <c r="A69" s="73" t="n">
        <v>65</v>
      </c>
      <c r="B69" s="67" t="inlineStr">
        <is>
          <t xml:space="preserve">        If alis &gt; 1 And satis &gt; alis And satis &lt; 250 And satis / alis &lt; 1.25 Then SatisKuruBulV6 = satis: Exit Function</t>
        </is>
      </c>
    </row>
    <row r="70">
      <c r="A70" s="73" t="n">
        <v>66</v>
      </c>
      <c r="B70" s="67" t="inlineStr">
        <is>
          <t xml:space="preserve">    Next m</t>
        </is>
      </c>
    </row>
    <row r="71">
      <c r="A71" s="73" t="n">
        <v>67</v>
      </c>
      <c r="B71" s="67" t="inlineStr">
        <is>
          <t>End Function</t>
        </is>
      </c>
    </row>
    <row r="72">
      <c r="A72" s="73" t="n">
        <v>68</v>
      </c>
      <c r="B72" s="67" t="n"/>
    </row>
    <row r="73">
      <c r="A73" s="73" t="n">
        <v>69</v>
      </c>
      <c r="B73" s="67" t="inlineStr">
        <is>
          <t>Private Function YerelSayiyaCevirV3(ByVal metin As String) As Double</t>
        </is>
      </c>
    </row>
    <row r="74">
      <c r="A74" s="73" t="n">
        <v>70</v>
      </c>
      <c r="B74" s="67" t="inlineStr">
        <is>
          <t xml:space="preserve">    Dim s As String, ayirac As String</t>
        </is>
      </c>
    </row>
    <row r="75">
      <c r="A75" s="73" t="n">
        <v>71</v>
      </c>
      <c r="B75" s="67" t="inlineStr">
        <is>
          <t xml:space="preserve">    ayirac = Application.International(xlDecimalSeparator)</t>
        </is>
      </c>
    </row>
    <row r="76">
      <c r="A76" s="73" t="n">
        <v>72</v>
      </c>
      <c r="B76" s="67" t="inlineStr">
        <is>
          <t xml:space="preserve">    s = Replace(Replace(Replace(Trim$(metin), "TL", ""), Chr(160), ""), " ", "")</t>
        </is>
      </c>
    </row>
    <row r="77">
      <c r="A77" s="73" t="n">
        <v>73</v>
      </c>
      <c r="B77" s="67" t="inlineStr">
        <is>
          <t xml:space="preserve">    If InStr(s, ",") &gt; 0 Then</t>
        </is>
      </c>
    </row>
    <row r="78">
      <c r="A78" s="73" t="n">
        <v>74</v>
      </c>
      <c r="B78" s="67" t="inlineStr">
        <is>
          <t xml:space="preserve">        s = Replace(s, ".", "")</t>
        </is>
      </c>
    </row>
    <row r="79">
      <c r="A79" s="73" t="n">
        <v>75</v>
      </c>
      <c r="B79" s="67" t="inlineStr">
        <is>
          <t xml:space="preserve">        s = Replace(s, ",", ayirac)</t>
        </is>
      </c>
    </row>
    <row r="80">
      <c r="A80" s="73" t="n">
        <v>76</v>
      </c>
      <c r="B80" s="67" t="inlineStr">
        <is>
          <t xml:space="preserve">    Else</t>
        </is>
      </c>
    </row>
    <row r="81">
      <c r="A81" s="73" t="n">
        <v>77</v>
      </c>
      <c r="B81" s="67" t="inlineStr">
        <is>
          <t xml:space="preserve">        s = Replace(s, ".", ayirac)</t>
        </is>
      </c>
    </row>
    <row r="82">
      <c r="A82" s="73" t="n">
        <v>78</v>
      </c>
      <c r="B82" s="67" t="inlineStr">
        <is>
          <t xml:space="preserve">    End If</t>
        </is>
      </c>
    </row>
    <row r="83">
      <c r="A83" s="73" t="n">
        <v>79</v>
      </c>
      <c r="B83" s="67" t="inlineStr">
        <is>
          <t xml:space="preserve">    If IsNumeric(s) Then YerelSayiyaCevirV3 = CDbl(s)</t>
        </is>
      </c>
    </row>
    <row r="84">
      <c r="A84" s="73" t="n">
        <v>80</v>
      </c>
      <c r="B84" s="67" t="inlineStr">
        <is>
          <t>End Function</t>
        </is>
      </c>
    </row>
    <row r="85">
      <c r="B85" t="inlineStr">
        <is>
          <t>Public Sub IsBankasiKurlariGuncelleV3(): IsBankasiKurlariCekirdekV6 False: End Sub</t>
        </is>
      </c>
    </row>
    <row r="86">
      <c r="B86" t="inlineStr">
        <is>
          <t>Public Sub IsBankasiKurlariOtomatikV6(Optional ByVal Sessiz As Boolean = True): IsBankasiKurlariCekirdekV6 Sessiz: End Sub</t>
        </is>
      </c>
    </row>
  </sheetData>
  <mergeCells count="2">
    <mergeCell ref="A1:B2"/>
    <mergeCell ref="A3:B3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>
  <sheetPr codeName="Sayfa28">
    <outlinePr summaryBelow="1" summaryRight="1"/>
    <pageSetUpPr/>
  </sheetPr>
  <dimension ref="A1:B96"/>
  <sheetViews>
    <sheetView workbookViewId="0">
      <selection activeCell="B5" sqref="B5:B150"/>
    </sheetView>
  </sheetViews>
  <sheetFormatPr baseColWidth="8" defaultRowHeight="15"/>
  <cols>
    <col width="8.5703125" customWidth="1" style="164" min="1" max="1"/>
    <col width="190.42578125" customWidth="1" style="164" min="2" max="2"/>
  </cols>
  <sheetData>
    <row r="1">
      <c r="A1" s="248" t="inlineStr">
        <is>
          <t>OUTLOOK MAKROSU v1 — EKSİKSİZ KOPYALAMA</t>
        </is>
      </c>
    </row>
    <row r="2"/>
    <row r="3">
      <c r="A3" s="242" t="inlineStr">
        <is>
          <t>B5:B96 aralığını Mod_Outlook adlı standart modüle yapıştırın.</t>
        </is>
      </c>
    </row>
    <row r="4">
      <c r="A4" s="68" t="inlineStr">
        <is>
          <t>Satır</t>
        </is>
      </c>
      <c r="B4" s="68" t="inlineStr">
        <is>
          <t>VBA Kodu</t>
        </is>
      </c>
    </row>
    <row r="5">
      <c r="A5" s="73" t="n">
        <v>1</v>
      </c>
      <c r="B5" s="67" t="inlineStr">
        <is>
          <t>Option Explicit</t>
        </is>
      </c>
    </row>
    <row r="6">
      <c r="A6" s="73" t="n">
        <v>2</v>
      </c>
      <c r="B6" s="67" t="n"/>
    </row>
    <row r="7">
      <c r="A7" s="73" t="n">
        <v>3</v>
      </c>
      <c r="B7" s="67" t="inlineStr">
        <is>
          <t>Private Const OUTLOOK_PDF_SURUMU As String = "2026.09.27-v1"</t>
        </is>
      </c>
    </row>
    <row r="8">
      <c r="A8" s="73" t="n">
        <v>4</v>
      </c>
      <c r="B8" s="67" t="n"/>
    </row>
    <row r="9">
      <c r="A9" s="73" t="n">
        <v>5</v>
      </c>
      <c r="B9" s="67" t="inlineStr">
        <is>
          <t>Public Sub TeklifiOutlookPDFTaslakV1()</t>
        </is>
      </c>
    </row>
    <row r="10">
      <c r="A10" s="73" t="n">
        <v>6</v>
      </c>
      <c r="B10" s="67" t="inlineStr">
        <is>
          <t xml:space="preserve">    On Error GoTo Hata</t>
        </is>
      </c>
    </row>
    <row r="11">
      <c r="A11" s="73" t="n">
        <v>7</v>
      </c>
      <c r="B11" s="67" t="inlineStr">
        <is>
          <t xml:space="preserve">    Dim ws As Worksheet, kabuk As Object, outlookApp As Object, posta As Object</t>
        </is>
      </c>
    </row>
    <row r="12">
      <c r="A12" s="73" t="n">
        <v>8</v>
      </c>
      <c r="B12" s="67" t="inlineStr">
        <is>
          <t xml:space="preserve">    Dim klasor As String, pdfKlasor As String, teklifNo As String</t>
        </is>
      </c>
    </row>
    <row r="13">
      <c r="A13" s="73" t="n">
        <v>9</v>
      </c>
      <c r="B13" s="67" t="inlineStr">
        <is>
          <t xml:space="preserve">    Dim dosya As String, tamYol As String, asama As String, hataNo As Long, hataAciklama As String</t>
        </is>
      </c>
    </row>
    <row r="14">
      <c r="A14" s="73" t="n">
        <v>10</v>
      </c>
      <c r="B14" s="67" t="n"/>
    </row>
    <row r="15">
      <c r="A15" s="73" t="n">
        <v>11</v>
      </c>
      <c r="B15" s="67" t="inlineStr">
        <is>
          <t xml:space="preserve">    asama = "Teklif sayfası hazırlanıyor"</t>
        </is>
      </c>
    </row>
    <row r="16">
      <c r="A16" s="73" t="n">
        <v>12</v>
      </c>
      <c r="B16" s="67" t="inlineStr">
        <is>
          <t xml:space="preserve">    Set ws = ThisWorkbook.Worksheets("Teklif Formu")</t>
        </is>
      </c>
    </row>
    <row r="17">
      <c r="A17" s="73" t="n">
        <v>13</v>
      </c>
      <c r="B17" s="67" t="inlineStr">
        <is>
          <t xml:space="preserve">    Set kabuk = CreateObject("WScript.Shell")</t>
        </is>
      </c>
    </row>
    <row r="18">
      <c r="A18" s="73" t="n">
        <v>14</v>
      </c>
      <c r="B18" s="67" t="inlineStr">
        <is>
          <t xml:space="preserve">    If kabuk Is Nothing Then Err.Raise vbObjectError + 401, , "Masaüstü yolu alınamadı."</t>
        </is>
      </c>
    </row>
    <row r="19">
      <c r="A19" s="73" t="n">
        <v>15</v>
      </c>
      <c r="B19" s="67" t="inlineStr">
        <is>
          <t xml:space="preserve">    klasor = kabuk.SpecialFolders("Desktop") &amp; "\Teklifler"</t>
        </is>
      </c>
    </row>
    <row r="20">
      <c r="A20" s="73" t="n">
        <v>16</v>
      </c>
      <c r="B20" s="67" t="inlineStr">
        <is>
          <t xml:space="preserve">    pdfKlasor = klasor &amp; "\PDF"</t>
        </is>
      </c>
    </row>
    <row r="21">
      <c r="A21" s="73" t="n">
        <v>17</v>
      </c>
      <c r="B21" s="67" t="inlineStr">
        <is>
          <t xml:space="preserve">    OutlookKlasorOlusturV1 klasor</t>
        </is>
      </c>
    </row>
    <row r="22">
      <c r="A22" s="73" t="n">
        <v>18</v>
      </c>
      <c r="B22" s="67" t="inlineStr">
        <is>
          <t xml:space="preserve">    OutlookKlasorOlusturV1 pdfKlasor</t>
        </is>
      </c>
    </row>
    <row r="23">
      <c r="A23" s="73" t="n">
        <v>19</v>
      </c>
      <c r="B23" s="67" t="n"/>
    </row>
    <row r="24">
      <c r="A24" s="73" t="n">
        <v>20</v>
      </c>
      <c r="B24" s="67" t="inlineStr">
        <is>
          <t xml:space="preserve">    teklifNo = OutlookDosyaAdiTemizleV1(CStr(ws.Range("J3").Text))</t>
        </is>
      </c>
    </row>
    <row r="25">
      <c r="A25" s="73" t="n">
        <v>21</v>
      </c>
      <c r="B25" s="67" t="inlineStr">
        <is>
          <t xml:space="preserve">    If Len(teklifNo) = 0 Then teklifNo = "Numarasiz"</t>
        </is>
      </c>
    </row>
    <row r="26">
      <c r="A26" s="73" t="n">
        <v>22</v>
      </c>
      <c r="B26" s="67" t="inlineStr">
        <is>
          <t xml:space="preserve">    dosya = "Teklif_" &amp; teklifNo &amp; "_" &amp; Format(Now, "yyyymmdd_hhnnss") &amp; ".pdf"</t>
        </is>
      </c>
    </row>
    <row r="27">
      <c r="A27" s="73" t="n">
        <v>23</v>
      </c>
      <c r="B27" s="67" t="inlineStr">
        <is>
          <t xml:space="preserve">    tamYol = pdfKlasor &amp; "\" &amp; dosya</t>
        </is>
      </c>
    </row>
    <row r="28">
      <c r="A28" s="73" t="n">
        <v>24</v>
      </c>
      <c r="B28" s="67" t="n"/>
    </row>
    <row r="29">
      <c r="A29" s="73" t="n">
        <v>25</v>
      </c>
      <c r="B29" s="67" t="inlineStr">
        <is>
          <t xml:space="preserve">    asama = "A4 PDF oluşturuluyor"</t>
        </is>
      </c>
    </row>
    <row r="30">
      <c r="A30" s="73" t="n">
        <v>26</v>
      </c>
      <c r="B30" s="67" t="inlineStr">
        <is>
          <t xml:space="preserve">    With ws.PageSetup</t>
        </is>
      </c>
    </row>
    <row r="31">
      <c r="A31" s="73" t="n">
        <v>27</v>
      </c>
      <c r="B31" s="67" t="inlineStr">
        <is>
          <t xml:space="preserve">        .PrintArea = "$A$1:$K$40"</t>
        </is>
      </c>
    </row>
    <row r="32">
      <c r="A32" s="73" t="n">
        <v>28</v>
      </c>
      <c r="B32" s="67" t="inlineStr">
        <is>
          <t xml:space="preserve">        .Orientation = xlPortrait</t>
        </is>
      </c>
    </row>
    <row r="33">
      <c r="A33" s="73" t="n">
        <v>29</v>
      </c>
      <c r="B33" s="67" t="inlineStr">
        <is>
          <t xml:space="preserve">        .PaperSize = xlPaperA4</t>
        </is>
      </c>
    </row>
    <row r="34">
      <c r="A34" s="73" t="n">
        <v>30</v>
      </c>
      <c r="B34" s="67" t="inlineStr">
        <is>
          <t xml:space="preserve">        .Zoom = False</t>
        </is>
      </c>
    </row>
    <row r="35">
      <c r="A35" s="73" t="n">
        <v>31</v>
      </c>
      <c r="B35" s="67" t="inlineStr">
        <is>
          <t xml:space="preserve">        .FitToPagesWide = 1</t>
        </is>
      </c>
    </row>
    <row r="36">
      <c r="A36" s="73" t="n">
        <v>32</v>
      </c>
      <c r="B36" s="67" t="inlineStr">
        <is>
          <t xml:space="preserve">        .FitToPagesTall = 1</t>
        </is>
      </c>
    </row>
    <row r="37">
      <c r="A37" s="73" t="n">
        <v>33</v>
      </c>
      <c r="B37" s="67" t="inlineStr">
        <is>
          <t xml:space="preserve">        .CenterHorizontally = True</t>
        </is>
      </c>
    </row>
    <row r="38">
      <c r="A38" s="73" t="n">
        <v>34</v>
      </c>
      <c r="B38" s="67" t="inlineStr">
        <is>
          <t xml:space="preserve">    End With</t>
        </is>
      </c>
    </row>
    <row r="39">
      <c r="A39" s="73" t="n">
        <v>35</v>
      </c>
      <c r="B39" s="67" t="inlineStr">
        <is>
          <t xml:space="preserve">    ws.ExportAsFixedFormat Type:=xlTypePDF, FileName:=tamYol, Quality:=xlQualityStandard, IncludeDocProperties:=True, IgnorePrintAreas:=False, OpenAfterPublish:=False</t>
        </is>
      </c>
    </row>
    <row r="40">
      <c r="A40" s="73" t="n">
        <v>36</v>
      </c>
      <c r="B40" s="67" t="inlineStr">
        <is>
          <t xml:space="preserve">    If Len(Dir$(tamYol)) = 0 Then Err.Raise vbObjectError + 402, , "PDF oluşturulamadı."</t>
        </is>
      </c>
    </row>
    <row r="41">
      <c r="A41" s="73" t="n">
        <v>37</v>
      </c>
      <c r="B41" s="67" t="n"/>
    </row>
    <row r="42">
      <c r="A42" s="73" t="n">
        <v>38</v>
      </c>
      <c r="B42" s="67" t="inlineStr">
        <is>
          <t xml:space="preserve">    asama = "Klasik Outlook açılıyor"</t>
        </is>
      </c>
    </row>
    <row r="43">
      <c r="A43" s="73" t="n">
        <v>39</v>
      </c>
      <c r="B43" s="67" t="inlineStr">
        <is>
          <t xml:space="preserve">    On Error Resume Next</t>
        </is>
      </c>
    </row>
    <row r="44">
      <c r="A44" s="73" t="n">
        <v>40</v>
      </c>
      <c r="B44" s="67" t="inlineStr">
        <is>
          <t xml:space="preserve">    Set outlookApp = GetObject(, "Outlook.Application")</t>
        </is>
      </c>
    </row>
    <row r="45">
      <c r="A45" s="73" t="n">
        <v>41</v>
      </c>
      <c r="B45" s="67" t="inlineStr">
        <is>
          <t xml:space="preserve">    If outlookApp Is Nothing Then Set outlookApp = CreateObject("Outlook.Application")</t>
        </is>
      </c>
    </row>
    <row r="46">
      <c r="A46" s="73" t="n">
        <v>42</v>
      </c>
      <c r="B46" s="67" t="inlineStr">
        <is>
          <t xml:space="preserve">    On Error GoTo Hata</t>
        </is>
      </c>
    </row>
    <row r="47">
      <c r="A47" s="73" t="n">
        <v>43</v>
      </c>
      <c r="B47" s="67" t="inlineStr">
        <is>
          <t xml:space="preserve">    If outlookApp Is Nothing Then Err.Raise vbObjectError + 403, , "Klasik Outlook başlatılamadı. Yeni Outlook kullanıyorsanız Klasik Outlook'a geçin."</t>
        </is>
      </c>
    </row>
    <row r="48">
      <c r="A48" s="73" t="n">
        <v>44</v>
      </c>
      <c r="B48" s="67" t="n"/>
    </row>
    <row r="49">
      <c r="A49" s="73" t="n">
        <v>45</v>
      </c>
      <c r="B49" s="67" t="inlineStr">
        <is>
          <t xml:space="preserve">    asama = "Yeni e-posta hazırlanıyor"</t>
        </is>
      </c>
    </row>
    <row r="50">
      <c r="A50" s="73" t="n">
        <v>46</v>
      </c>
      <c r="B50" s="67" t="inlineStr">
        <is>
          <t xml:space="preserve">    Set posta = outlookApp.CreateItem(0)</t>
        </is>
      </c>
    </row>
    <row r="51">
      <c r="A51" s="73" t="n">
        <v>47</v>
      </c>
      <c r="B51" s="67" t="inlineStr">
        <is>
          <t xml:space="preserve">    If posta Is Nothing Then Err.Raise vbObjectError + 404, , "Yeni e-posta oluşturulamadı."</t>
        </is>
      </c>
    </row>
    <row r="52">
      <c r="A52" s="73" t="n">
        <v>48</v>
      </c>
      <c r="B52" s="67" t="inlineStr">
        <is>
          <t xml:space="preserve">    posta.To = ""</t>
        </is>
      </c>
    </row>
    <row r="53">
      <c r="A53" s="73" t="n">
        <v>49</v>
      </c>
      <c r="B53" s="67" t="inlineStr">
        <is>
          <t xml:space="preserve">    posta.CC = ""</t>
        </is>
      </c>
    </row>
    <row r="54">
      <c r="A54" s="73" t="n">
        <v>50</v>
      </c>
      <c r="B54" s="67" t="inlineStr">
        <is>
          <t xml:space="preserve">    posta.BCC = ""</t>
        </is>
      </c>
    </row>
    <row r="55">
      <c r="A55" s="73" t="n">
        <v>51</v>
      </c>
      <c r="B55" s="67" t="inlineStr">
        <is>
          <t xml:space="preserve">    posta.Subject = ""</t>
        </is>
      </c>
    </row>
    <row r="56">
      <c r="A56" s="73" t="n">
        <v>52</v>
      </c>
      <c r="B56" s="67" t="inlineStr">
        <is>
          <t xml:space="preserve">    posta.Body = ""</t>
        </is>
      </c>
    </row>
    <row r="57">
      <c r="A57" s="73" t="n">
        <v>53</v>
      </c>
      <c r="B57" s="67" t="inlineStr">
        <is>
          <t xml:space="preserve">    posta.Save</t>
        </is>
      </c>
    </row>
    <row r="58">
      <c r="A58" s="73" t="n">
        <v>54</v>
      </c>
      <c r="B58" s="67" t="inlineStr">
        <is>
          <t xml:space="preserve">    posta.Attachments.Add tamYol, 1</t>
        </is>
      </c>
    </row>
    <row r="59">
      <c r="A59" s="73" t="n">
        <v>55</v>
      </c>
      <c r="B59" s="67" t="inlineStr">
        <is>
          <t xml:space="preserve">    posta.Save</t>
        </is>
      </c>
    </row>
    <row r="60">
      <c r="A60" s="73" t="n">
        <v>56</v>
      </c>
      <c r="B60" s="67" t="inlineStr">
        <is>
          <t xml:space="preserve">    posta.Display: On Error Resume Next: Application.Run "'" &amp; ThisWorkbook.Name &amp; "'!TeklifIslemLoguV2", "Outlook taslağı açıldı", ws.Range("J3").Text, "Başarılı", tamYol: On Error GoTo Hata</t>
        </is>
      </c>
    </row>
    <row r="61">
      <c r="A61" s="73" t="n">
        <v>57</v>
      </c>
      <c r="B61" s="67" t="inlineStr">
        <is>
          <t xml:space="preserve">    SetForegroundWindowOutlookV1 posta</t>
        </is>
      </c>
    </row>
    <row r="62">
      <c r="A62" s="73" t="n">
        <v>58</v>
      </c>
      <c r="B62" s="67" t="inlineStr">
        <is>
          <t xml:space="preserve">    Exit Sub</t>
        </is>
      </c>
    </row>
    <row r="63">
      <c r="A63" s="73" t="n">
        <v>59</v>
      </c>
      <c r="B63" s="67" t="inlineStr">
        <is>
          <t>Hata: hataNo = Err.Number: hataAciklama = Err.Description</t>
        </is>
      </c>
    </row>
    <row r="64">
      <c r="A64" s="73" t="n">
        <v>60</v>
      </c>
      <c r="B64" s="67" t="inlineStr">
        <is>
          <t xml:space="preserve">    MsgBox "Outlook PDF işlemi tamamlanamadı." &amp; vbCrLf &amp; "Sürüm: " &amp; OUTLOOK_PDF_SURUMU &amp; vbCrLf &amp; "Aşama: " &amp; asama &amp; vbCrLf &amp; "Hata " &amp; hataNo &amp; ": " &amp; hataAciklama, vbExclamation</t>
        </is>
      </c>
    </row>
    <row r="65">
      <c r="A65" s="73" t="n">
        <v>61</v>
      </c>
      <c r="B65" s="67" t="inlineStr">
        <is>
          <t>End Sub</t>
        </is>
      </c>
    </row>
    <row r="66">
      <c r="A66" s="73" t="n">
        <v>62</v>
      </c>
      <c r="B66" s="67" t="n"/>
    </row>
    <row r="67">
      <c r="A67" s="73" t="n">
        <v>63</v>
      </c>
      <c r="B67" s="67" t="inlineStr">
        <is>
          <t>Public Sub OutlookDugmesiniBaglaV1()</t>
        </is>
      </c>
    </row>
    <row r="68">
      <c r="A68" s="73" t="n">
        <v>64</v>
      </c>
      <c r="B68" s="67" t="inlineStr">
        <is>
          <t xml:space="preserve">    On Error GoTo Hata</t>
        </is>
      </c>
    </row>
    <row r="69">
      <c r="A69" s="73" t="n">
        <v>65</v>
      </c>
      <c r="B69" s="67" t="inlineStr">
        <is>
          <t xml:space="preserve">    ThisWorkbook.Worksheets("Outlook E-posta").Shapes("Outlook PDF Düğmesi").OnAction = "'" &amp; ThisWorkbook.Name &amp; "'!TeklifiOutlookPDFTaslakV1"</t>
        </is>
      </c>
    </row>
    <row r="70">
      <c r="A70" s="73" t="n">
        <v>66</v>
      </c>
      <c r="B70" s="67" t="inlineStr">
        <is>
          <t xml:space="preserve">    MsgBox "Outlook PDF düğmesi hazır.", vbInformation</t>
        </is>
      </c>
    </row>
    <row r="71">
      <c r="A71" s="73" t="n">
        <v>67</v>
      </c>
      <c r="B71" s="67" t="inlineStr">
        <is>
          <t xml:space="preserve">    Exit Sub</t>
        </is>
      </c>
    </row>
    <row r="72">
      <c r="A72" s="73" t="n">
        <v>68</v>
      </c>
      <c r="B72" s="67" t="inlineStr">
        <is>
          <t>Hata:</t>
        </is>
      </c>
    </row>
    <row r="73">
      <c r="A73" s="73" t="n">
        <v>69</v>
      </c>
      <c r="B73" s="67" t="inlineStr">
        <is>
          <t xml:space="preserve">    MsgBox "Outlook düğmesi bağlanamadı: " &amp; Err.Description, vbExclamation</t>
        </is>
      </c>
    </row>
    <row r="74">
      <c r="A74" s="73" t="n">
        <v>70</v>
      </c>
      <c r="B74" s="67" t="inlineStr">
        <is>
          <t>End Sub</t>
        </is>
      </c>
    </row>
    <row r="75">
      <c r="A75" s="73" t="n">
        <v>71</v>
      </c>
      <c r="B75" s="67" t="n"/>
    </row>
    <row r="76">
      <c r="A76" s="73" t="n">
        <v>72</v>
      </c>
      <c r="B76" s="67" t="inlineStr">
        <is>
          <t>Public Sub OutlookPDFTestiV1()</t>
        </is>
      </c>
    </row>
    <row r="77">
      <c r="A77" s="73" t="n">
        <v>73</v>
      </c>
      <c r="B77" s="67" t="inlineStr">
        <is>
          <t xml:space="preserve">    TeklifiOutlookPDFTaslakV1</t>
        </is>
      </c>
    </row>
    <row r="78">
      <c r="A78" s="73" t="n">
        <v>74</v>
      </c>
      <c r="B78" s="67" t="inlineStr">
        <is>
          <t>End Sub</t>
        </is>
      </c>
    </row>
    <row r="79">
      <c r="A79" s="73" t="n">
        <v>75</v>
      </c>
      <c r="B79" s="67" t="n"/>
    </row>
    <row r="80">
      <c r="A80" s="73" t="n">
        <v>76</v>
      </c>
      <c r="B80" s="67" t="inlineStr">
        <is>
          <t>Private Sub OutlookKlasorOlusturV1(ByVal yol As String)</t>
        </is>
      </c>
    </row>
    <row r="81">
      <c r="A81" s="73" t="n">
        <v>77</v>
      </c>
      <c r="B81" s="67" t="inlineStr">
        <is>
          <t xml:space="preserve">    If Len(Dir$(yol, vbDirectory)) = 0 Then MkDir yol</t>
        </is>
      </c>
    </row>
    <row r="82">
      <c r="A82" s="73" t="n">
        <v>78</v>
      </c>
      <c r="B82" s="67" t="inlineStr">
        <is>
          <t>End Sub</t>
        </is>
      </c>
    </row>
    <row r="83">
      <c r="A83" s="73" t="n">
        <v>79</v>
      </c>
      <c r="B83" s="67" t="n"/>
    </row>
    <row r="84">
      <c r="A84" s="73" t="n">
        <v>80</v>
      </c>
      <c r="B84" s="67" t="inlineStr">
        <is>
          <t>Private Function OutlookDosyaAdiTemizleV1(ByVal metin As String) As String</t>
        </is>
      </c>
    </row>
    <row r="85">
      <c r="A85" s="73" t="n">
        <v>81</v>
      </c>
      <c r="B85" s="67" t="inlineStr">
        <is>
          <t xml:space="preserve">    Dim yasak As Variant, x As Variant</t>
        </is>
      </c>
    </row>
    <row r="86">
      <c r="A86" s="73" t="n">
        <v>82</v>
      </c>
      <c r="B86" s="67" t="inlineStr">
        <is>
          <t xml:space="preserve">    yasak = Array("\", "/", ":", "*", "?", Chr$(34), "&lt;", "&gt;", "|")</t>
        </is>
      </c>
    </row>
    <row r="87">
      <c r="A87" s="73" t="n">
        <v>83</v>
      </c>
      <c r="B87" s="67" t="inlineStr">
        <is>
          <t xml:space="preserve">    For Each x In yasak</t>
        </is>
      </c>
    </row>
    <row r="88">
      <c r="A88" s="73" t="n">
        <v>84</v>
      </c>
      <c r="B88" s="67" t="inlineStr">
        <is>
          <t xml:space="preserve">        metin = Replace(metin, CStr(x), "-")</t>
        </is>
      </c>
    </row>
    <row r="89">
      <c r="A89" s="73" t="n">
        <v>85</v>
      </c>
      <c r="B89" s="67" t="inlineStr">
        <is>
          <t xml:space="preserve">    Next x</t>
        </is>
      </c>
    </row>
    <row r="90">
      <c r="A90" s="73" t="n">
        <v>86</v>
      </c>
      <c r="B90" s="67" t="inlineStr">
        <is>
          <t xml:space="preserve">    OutlookDosyaAdiTemizleV1 = Trim$(metin)</t>
        </is>
      </c>
    </row>
    <row r="91">
      <c r="A91" s="73" t="n">
        <v>87</v>
      </c>
      <c r="B91" s="67" t="inlineStr">
        <is>
          <t>End Function</t>
        </is>
      </c>
    </row>
    <row r="92">
      <c r="A92" s="73" t="n">
        <v>88</v>
      </c>
      <c r="B92" s="67" t="n"/>
    </row>
    <row r="93">
      <c r="A93" s="73" t="n">
        <v>89</v>
      </c>
      <c r="B93" s="67" t="inlineStr">
        <is>
          <t>Private Sub SetForegroundWindowOutlookV1(ByVal posta As Object)</t>
        </is>
      </c>
    </row>
    <row r="94">
      <c r="A94" s="73" t="n">
        <v>90</v>
      </c>
      <c r="B94" s="67" t="inlineStr">
        <is>
          <t xml:space="preserve">    On Error Resume Next</t>
        </is>
      </c>
    </row>
    <row r="95">
      <c r="A95" s="73" t="n">
        <v>91</v>
      </c>
      <c r="B95" s="67" t="inlineStr">
        <is>
          <t xml:space="preserve">    posta.GetInspector.Activate</t>
        </is>
      </c>
    </row>
    <row r="96">
      <c r="A96" s="73" t="n">
        <v>92</v>
      </c>
      <c r="B96" s="67" t="inlineStr">
        <is>
          <t>End Sub</t>
        </is>
      </c>
    </row>
  </sheetData>
  <mergeCells count="2">
    <mergeCell ref="A1:B2"/>
    <mergeCell ref="A3:B3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>
  <sheetPr codeName="Sayfa29">
    <outlinePr summaryBelow="1" summaryRight="1"/>
    <pageSetUpPr/>
  </sheetPr>
  <dimension ref="A1:B162"/>
  <sheetViews>
    <sheetView workbookViewId="0">
      <selection activeCell="B5" sqref="B5:B150"/>
    </sheetView>
  </sheetViews>
  <sheetFormatPr baseColWidth="8" defaultRowHeight="15"/>
  <cols>
    <col width="8.5703125" customWidth="1" style="164" min="1" max="1"/>
    <col width="190.42578125" customWidth="1" style="164" min="2" max="2"/>
  </cols>
  <sheetData>
    <row r="1">
      <c r="A1" s="248" t="inlineStr">
        <is>
          <t>YÖNETİM MAKROSU v2 — EKSİKSİZ KOPYALAMA</t>
        </is>
      </c>
    </row>
    <row r="2"/>
    <row r="3">
      <c r="A3" s="242" t="inlineStr">
        <is>
          <t>B5:B162 aralığını Mod_Yonetim adlı standart modüle yapıştırın.</t>
        </is>
      </c>
    </row>
    <row r="4">
      <c r="A4" s="68" t="inlineStr">
        <is>
          <t>Satır</t>
        </is>
      </c>
      <c r="B4" s="68" t="inlineStr">
        <is>
          <t>VBA Kodu</t>
        </is>
      </c>
    </row>
    <row r="5">
      <c r="A5" s="73" t="n">
        <v>1</v>
      </c>
      <c r="B5" s="67" t="inlineStr">
        <is>
          <t>Option Explicit</t>
        </is>
      </c>
    </row>
    <row r="6">
      <c r="A6" s="73" t="n">
        <v>2</v>
      </c>
      <c r="B6" s="67" t="n"/>
    </row>
    <row r="7">
      <c r="A7" s="73" t="n">
        <v>3</v>
      </c>
      <c r="B7" s="67" t="inlineStr">
        <is>
          <t>Private Const YONETIM_SURUMU As String = "2026.09.27-v2"</t>
        </is>
      </c>
    </row>
    <row r="8">
      <c r="A8" s="73" t="n">
        <v>4</v>
      </c>
      <c r="B8" s="67" t="n"/>
    </row>
    <row r="9">
      <c r="A9" s="73" t="n">
        <v>5</v>
      </c>
      <c r="B9" s="67" t="inlineStr">
        <is>
          <t>Public Sub YeniTeklifV2()</t>
        </is>
      </c>
    </row>
    <row r="10">
      <c r="A10" s="73" t="n">
        <v>6</v>
      </c>
      <c r="B10" s="67" t="inlineStr">
        <is>
          <t xml:space="preserve">    On Error GoTo Hata</t>
        </is>
      </c>
    </row>
    <row r="11">
      <c r="A11" s="73" t="n">
        <v>7</v>
      </c>
      <c r="B11" s="67" t="inlineStr">
        <is>
          <t xml:space="preserve">    Dim f As Worksheet, a As Worksheet, sira As Long, onEk As String, no As String, hataNo As Long, hataAciklama As String</t>
        </is>
      </c>
    </row>
    <row r="12">
      <c r="A12" s="73" t="n">
        <v>8</v>
      </c>
      <c r="B12" s="67" t="inlineStr">
        <is>
          <t xml:space="preserve">    Set f = ThisWorkbook.Worksheets("Teklif Formu")</t>
        </is>
      </c>
    </row>
    <row r="13">
      <c r="A13" s="73" t="n">
        <v>9</v>
      </c>
      <c r="B13" s="67" t="inlineStr">
        <is>
          <t xml:space="preserve">    Set a = ThisWorkbook.Worksheets("Ayarlar")</t>
        </is>
      </c>
    </row>
    <row r="14">
      <c r="A14" s="73" t="n">
        <v>10</v>
      </c>
      <c r="B14" s="67" t="inlineStr">
        <is>
          <t xml:space="preserve">    f.Unprotect Password:=""</t>
        </is>
      </c>
    </row>
    <row r="15">
      <c r="A15" s="73" t="n">
        <v>11</v>
      </c>
      <c r="B15" s="67" t="inlineStr">
        <is>
          <t xml:space="preserve">    sira = CLng(Val(a.Range("B6").Value))</t>
        </is>
      </c>
    </row>
    <row r="16">
      <c r="A16" s="73" t="n">
        <v>12</v>
      </c>
      <c r="B16" s="67" t="inlineStr">
        <is>
          <t xml:space="preserve">    onEk = Trim$(CStr(a.Range("B5").Value))</t>
        </is>
      </c>
    </row>
    <row r="17">
      <c r="A17" s="73" t="n">
        <v>13</v>
      </c>
      <c r="B17" s="67" t="inlineStr">
        <is>
          <t xml:space="preserve">    Do</t>
        </is>
      </c>
    </row>
    <row r="18">
      <c r="A18" s="73" t="n">
        <v>14</v>
      </c>
      <c r="B18" s="67" t="inlineStr">
        <is>
          <t xml:space="preserve">        sira = sira + 1</t>
        </is>
      </c>
    </row>
    <row r="19">
      <c r="A19" s="73" t="n">
        <v>15</v>
      </c>
      <c r="B19" s="67" t="inlineStr">
        <is>
          <t xml:space="preserve">        no = onEk &amp; "-" &amp; Year(Date) &amp; "-" &amp; Format$(sira, "0000")</t>
        </is>
      </c>
    </row>
    <row r="20">
      <c r="A20" s="73" t="n">
        <v>16</v>
      </c>
      <c r="B20" s="67" t="inlineStr">
        <is>
          <t xml:space="preserve">    Loop While TeklifNoArsivdeVarV2(no)</t>
        </is>
      </c>
    </row>
    <row r="21">
      <c r="A21" s="73" t="n">
        <v>17</v>
      </c>
      <c r="B21" s="67" t="inlineStr">
        <is>
          <t xml:space="preserve">    a.Range("B6").Value = sira</t>
        </is>
      </c>
    </row>
    <row r="22">
      <c r="A22" s="73" t="n">
        <v>18</v>
      </c>
      <c r="B22" s="67" t="inlineStr">
        <is>
          <t xml:space="preserve">    f.Range("J3").Value = no</t>
        </is>
      </c>
    </row>
    <row r="23">
      <c r="A23" s="73" t="n">
        <v>19</v>
      </c>
      <c r="B23" s="67" t="inlineStr">
        <is>
          <t xml:space="preserve">    f.Range("J4").Value = Date</t>
        </is>
      </c>
    </row>
    <row r="24">
      <c r="A24" s="73" t="n">
        <v>20</v>
      </c>
      <c r="B24" s="67" t="inlineStr">
        <is>
          <t xml:space="preserve">    f.Range("D3:G3").ClearContents</t>
        </is>
      </c>
    </row>
    <row r="25">
      <c r="A25" s="73" t="n">
        <v>21</v>
      </c>
      <c r="B25" s="67" t="inlineStr">
        <is>
          <t xml:space="preserve">    f.Range("A8:A30,D8:E30").ClearContents</t>
        </is>
      </c>
    </row>
    <row r="26">
      <c r="A26" s="73" t="n">
        <v>22</v>
      </c>
      <c r="B26" s="67" t="inlineStr">
        <is>
          <t xml:space="preserve">    f.Range("G8:G30").Value = a.Range("B8").Value</t>
        </is>
      </c>
    </row>
    <row r="27">
      <c r="A27" s="73" t="n">
        <v>23</v>
      </c>
      <c r="B27" s="67" t="inlineStr">
        <is>
          <t xml:space="preserve">    f.Range("I8:I30").Value = "TRY"</t>
        </is>
      </c>
    </row>
    <row r="28">
      <c r="A28" s="73" t="n">
        <v>24</v>
      </c>
      <c r="B28" s="67" t="inlineStr">
        <is>
          <t xml:space="preserve">    f.Range("A35").Value = "Teklife ilişkin açıklamalarınızı buraya yazınız."</t>
        </is>
      </c>
    </row>
    <row r="29">
      <c r="A29" s="73" t="n">
        <v>25</v>
      </c>
      <c r="B29" s="67" t="inlineStr">
        <is>
          <t xml:space="preserve">    ThisWorkbook.Worksheets("Teklif Yönetimi").Range("G6").Value = "Taslak"</t>
        </is>
      </c>
    </row>
    <row r="30">
      <c r="A30" s="73" t="n">
        <v>26</v>
      </c>
      <c r="B30" s="67" t="inlineStr">
        <is>
          <t xml:space="preserve">    TeklifIslemLoguV2 "Yeni teklif", no, "Başarılı", ""</t>
        </is>
      </c>
    </row>
    <row r="31">
      <c r="A31" s="73" t="n">
        <v>27</v>
      </c>
      <c r="B31" s="67" t="inlineStr">
        <is>
          <t xml:space="preserve">    f.Protect Password:="", UserInterfaceOnly:=True, AllowFiltering:=True</t>
        </is>
      </c>
    </row>
    <row r="32">
      <c r="A32" s="73" t="n">
        <v>28</v>
      </c>
      <c r="B32" s="67" t="inlineStr">
        <is>
          <t xml:space="preserve">    MsgBox "Yeni teklif hazır: " &amp; no &amp; vbCrLf &amp; "Sürüm: " &amp; YONETIM_SURUMU, vbInformation</t>
        </is>
      </c>
    </row>
    <row r="33">
      <c r="A33" s="73" t="n">
        <v>29</v>
      </c>
      <c r="B33" s="67" t="inlineStr">
        <is>
          <t xml:space="preserve">    Exit Sub</t>
        </is>
      </c>
    </row>
    <row r="34">
      <c r="A34" s="73" t="n">
        <v>30</v>
      </c>
      <c r="B34" s="67" t="inlineStr">
        <is>
          <t>Hata: hataNo = Err.Number: hataAciklama = Err.Description</t>
        </is>
      </c>
    </row>
    <row r="35">
      <c r="A35" s="73" t="n">
        <v>31</v>
      </c>
      <c r="B35" s="67" t="inlineStr">
        <is>
          <t xml:space="preserve">    On Error Resume Next</t>
        </is>
      </c>
    </row>
    <row r="36">
      <c r="A36" s="73" t="n">
        <v>32</v>
      </c>
      <c r="B36" s="67" t="inlineStr">
        <is>
          <t xml:space="preserve">    f.Protect Password:="", UserInterfaceOnly:=True, AllowFiltering:=True</t>
        </is>
      </c>
    </row>
    <row r="37">
      <c r="A37" s="73" t="n">
        <v>33</v>
      </c>
      <c r="B37" s="67" t="inlineStr">
        <is>
          <t xml:space="preserve">    MsgBox "Yeni teklif oluşturulamadı. Hata " &amp; hataNo &amp; ": " &amp; hataAciklama, vbExclamation</t>
        </is>
      </c>
    </row>
    <row r="38">
      <c r="A38" s="73" t="n">
        <v>34</v>
      </c>
      <c r="B38" s="67" t="inlineStr">
        <is>
          <t>End Sub</t>
        </is>
      </c>
    </row>
    <row r="39">
      <c r="A39" s="73" t="n">
        <v>35</v>
      </c>
      <c r="B39" s="67" t="n"/>
    </row>
    <row r="40">
      <c r="A40" s="73" t="n">
        <v>36</v>
      </c>
      <c r="B40" s="67" t="inlineStr">
        <is>
          <t>Public Sub TeklifiArsivleV2()</t>
        </is>
      </c>
    </row>
    <row r="41">
      <c r="A41" s="73" t="n">
        <v>37</v>
      </c>
      <c r="B41" s="67" t="inlineStr">
        <is>
          <t xml:space="preserve">    On Error GoTo Hata</t>
        </is>
      </c>
    </row>
    <row r="42">
      <c r="A42" s="73" t="n">
        <v>38</v>
      </c>
      <c r="B42" s="67" t="inlineStr">
        <is>
          <t xml:space="preserve">    Dim f As Worksheet, a As Worksheet, t As ListObject, lr As ListRow</t>
        </is>
      </c>
    </row>
    <row r="43">
      <c r="A43" s="73" t="n">
        <v>39</v>
      </c>
      <c r="B43" s="67" t="inlineStr">
        <is>
          <t xml:space="preserve">    Dim no As String, durum As String</t>
        </is>
      </c>
    </row>
    <row r="44">
      <c r="A44" s="73" t="n">
        <v>40</v>
      </c>
      <c r="B44" s="67" t="inlineStr">
        <is>
          <t xml:space="preserve">    Set f = ThisWorkbook.Worksheets("Teklif Formu")</t>
        </is>
      </c>
    </row>
    <row r="45">
      <c r="A45" s="73" t="n">
        <v>41</v>
      </c>
      <c r="B45" s="67" t="inlineStr">
        <is>
          <t xml:space="preserve">    Set a = ThisWorkbook.Worksheets("Teklif Arşivi")</t>
        </is>
      </c>
    </row>
    <row r="46">
      <c r="A46" s="73" t="n">
        <v>42</v>
      </c>
      <c r="B46" s="67" t="inlineStr">
        <is>
          <t xml:space="preserve">    Set t = a.ListObjects("tblTeklifArsivi")</t>
        </is>
      </c>
    </row>
    <row r="47">
      <c r="A47" s="73" t="n">
        <v>43</v>
      </c>
      <c r="B47" s="67" t="inlineStr">
        <is>
          <t xml:space="preserve">    no = Trim$(CStr(f.Range("J3").Text))</t>
        </is>
      </c>
    </row>
    <row r="48">
      <c r="A48" s="73" t="n">
        <v>44</v>
      </c>
      <c r="B48" s="67" t="inlineStr">
        <is>
          <t xml:space="preserve">    If Len(no) = 0 Then Err.Raise vbObjectError + 501, , "Teklif numarası boş."</t>
        </is>
      </c>
    </row>
    <row r="49">
      <c r="A49" s="73" t="n">
        <v>45</v>
      </c>
      <c r="B49" s="67" t="inlineStr">
        <is>
          <t xml:space="preserve">    If Len(Trim$(CStr(f.Range("D3").Text))) = 0 Then Err.Raise vbObjectError + 502, , "Müşteri bilgisi boş."</t>
        </is>
      </c>
    </row>
    <row r="50">
      <c r="A50" s="73" t="n">
        <v>46</v>
      </c>
      <c r="B50" s="67" t="inlineStr">
        <is>
          <t xml:space="preserve">    If WorksheetFunction.CountIf(f.Range("A8:A30"), "&lt;&gt;") = 0 Then Err.Raise vbObjectError + 503, , "Teklif kalemi bulunmuyor."</t>
        </is>
      </c>
    </row>
    <row r="51">
      <c r="A51" s="73" t="n">
        <v>47</v>
      </c>
      <c r="B51" s="67" t="inlineStr">
        <is>
          <t xml:space="preserve">    If TeklifNoArsivdeVarV2(no) Then Err.Raise vbObjectError + 504, , "Bu teklif numarası daha önce arşivlenmiş."</t>
        </is>
      </c>
    </row>
    <row r="52">
      <c r="A52" s="73" t="n">
        <v>48</v>
      </c>
      <c r="B52" s="67" t="inlineStr">
        <is>
          <t xml:space="preserve">    durum = CStr(ThisWorkbook.Worksheets("Teklif Yönetimi").Range("G6").Value)</t>
        </is>
      </c>
    </row>
    <row r="53">
      <c r="A53" s="73" t="n">
        <v>49</v>
      </c>
      <c r="B53" s="67" t="inlineStr">
        <is>
          <t xml:space="preserve">    If Len(durum) = 0 Then durum = "Taslak"</t>
        </is>
      </c>
    </row>
    <row r="54">
      <c r="A54" s="73" t="n">
        <v>50</v>
      </c>
      <c r="B54" s="67" t="inlineStr">
        <is>
          <t xml:space="preserve">    Set lr = t.ListRows.Add</t>
        </is>
      </c>
    </row>
    <row r="55">
      <c r="A55" s="73" t="n">
        <v>51</v>
      </c>
      <c r="B55" s="67" t="inlineStr">
        <is>
          <t xml:space="preserve">    With lr.Range</t>
        </is>
      </c>
    </row>
    <row r="56">
      <c r="A56" s="73" t="n">
        <v>52</v>
      </c>
      <c r="B56" s="67" t="inlineStr">
        <is>
          <t xml:space="preserve">        .Cells(1, 1).Value = no</t>
        </is>
      </c>
    </row>
    <row r="57">
      <c r="A57" s="73" t="n">
        <v>53</v>
      </c>
      <c r="B57" s="67" t="inlineStr">
        <is>
          <t xml:space="preserve">        .Cells(1, 2).Value = f.Range("J4").Value</t>
        </is>
      </c>
    </row>
    <row r="58">
      <c r="A58" s="73" t="n">
        <v>54</v>
      </c>
      <c r="B58" s="67" t="inlineStr">
        <is>
          <t xml:space="preserve">        .Cells(1, 3).Value = f.Range("D3").Value</t>
        </is>
      </c>
    </row>
    <row r="59">
      <c r="A59" s="73" t="n">
        <v>55</v>
      </c>
      <c r="B59" s="67" t="inlineStr">
        <is>
          <t xml:space="preserve">        .Cells(1, 4).Value = f.Range("K33").Value</t>
        </is>
      </c>
    </row>
    <row r="60">
      <c r="A60" s="73" t="n">
        <v>56</v>
      </c>
      <c r="B60" s="67" t="inlineStr">
        <is>
          <t xml:space="preserve">        .Cells(1, 5).Value = durum</t>
        </is>
      </c>
    </row>
    <row r="61">
      <c r="A61" s="73" t="n">
        <v>57</v>
      </c>
      <c r="B61" s="67" t="inlineStr">
        <is>
          <t xml:space="preserve">        .Cells(1, 6).Value = f.Range("J5").Value</t>
        </is>
      </c>
    </row>
    <row r="62">
      <c r="A62" s="73" t="n">
        <v>58</v>
      </c>
      <c r="B62" s="67" t="inlineStr">
        <is>
          <t xml:space="preserve">        .Cells(1, 7).Value = Date + 7</t>
        </is>
      </c>
    </row>
    <row r="63">
      <c r="A63" s="73" t="n">
        <v>59</v>
      </c>
      <c r="B63" s="67" t="inlineStr">
        <is>
          <t xml:space="preserve">        .Cells(1, 8).Value = 0.25</t>
        </is>
      </c>
    </row>
    <row r="64">
      <c r="A64" s="73" t="n">
        <v>60</v>
      </c>
      <c r="B64" s="67" t="inlineStr">
        <is>
          <t xml:space="preserve">        .Cells(1, 9).Value = ""</t>
        </is>
      </c>
    </row>
    <row r="65">
      <c r="A65" s="73" t="n">
        <v>61</v>
      </c>
      <c r="B65" s="67" t="inlineStr">
        <is>
          <t xml:space="preserve">        .Cells(1, 10).Value = Application.UserName</t>
        </is>
      </c>
    </row>
    <row r="66">
      <c r="A66" s="73" t="n">
        <v>62</v>
      </c>
      <c r="B66" s="67" t="inlineStr">
        <is>
          <t xml:space="preserve">        .Cells(1, 11).Value = f.Range("A35").Value</t>
        </is>
      </c>
    </row>
    <row r="67">
      <c r="A67" s="73" t="n">
        <v>63</v>
      </c>
      <c r="B67" s="67" t="inlineStr">
        <is>
          <t xml:space="preserve">    End With</t>
        </is>
      </c>
    </row>
    <row r="68">
      <c r="A68" s="73" t="n">
        <v>64</v>
      </c>
      <c r="B68" s="67" t="inlineStr">
        <is>
          <t xml:space="preserve">    TeklifIslemLoguV2 "Teklif arşivlendi", no, "Başarılı", ""</t>
        </is>
      </c>
    </row>
    <row r="69">
      <c r="A69" s="73" t="n">
        <v>65</v>
      </c>
      <c r="B69" s="67" t="inlineStr">
        <is>
          <t xml:space="preserve">    MsgBox "Teklif arşivlendi: " &amp; no, vbInformation</t>
        </is>
      </c>
    </row>
    <row r="70">
      <c r="A70" s="73" t="n">
        <v>66</v>
      </c>
      <c r="B70" s="67" t="inlineStr">
        <is>
          <t xml:space="preserve">    Exit Sub</t>
        </is>
      </c>
    </row>
    <row r="71">
      <c r="A71" s="73" t="n">
        <v>67</v>
      </c>
      <c r="B71" s="67" t="inlineStr">
        <is>
          <t>Hata:</t>
        </is>
      </c>
    </row>
    <row r="72">
      <c r="A72" s="73" t="n">
        <v>68</v>
      </c>
      <c r="B72" s="67" t="inlineStr">
        <is>
          <t xml:space="preserve">    MsgBox "Teklif arşivlenemedi. Hata " &amp; Err.Number &amp; ": " &amp; Err.Description, vbExclamation</t>
        </is>
      </c>
    </row>
    <row r="73">
      <c r="A73" s="73" t="n">
        <v>69</v>
      </c>
      <c r="B73" s="67" t="inlineStr">
        <is>
          <t>End Sub</t>
        </is>
      </c>
    </row>
    <row r="74">
      <c r="A74" s="73" t="n">
        <v>70</v>
      </c>
      <c r="B74" s="67" t="n"/>
    </row>
    <row r="75">
      <c r="A75" s="73" t="n">
        <v>71</v>
      </c>
      <c r="B75" s="67" t="inlineStr">
        <is>
          <t>Public Sub TeklifiFaturayaAktarV2()</t>
        </is>
      </c>
    </row>
    <row r="76">
      <c r="A76" s="73" t="n">
        <v>72</v>
      </c>
      <c r="B76" s="67" t="inlineStr">
        <is>
          <t xml:space="preserve">    On Error GoTo Hata</t>
        </is>
      </c>
    </row>
    <row r="77">
      <c r="A77" s="73" t="n">
        <v>73</v>
      </c>
      <c r="B77" s="67" t="inlineStr">
        <is>
          <t xml:space="preserve">    Dim kaynak As Worksheet, hedef As Worksheet, no As String</t>
        </is>
      </c>
    </row>
    <row r="78">
      <c r="A78" s="73" t="n">
        <v>74</v>
      </c>
      <c r="B78" s="67" t="inlineStr">
        <is>
          <t xml:space="preserve">    Set kaynak = ThisWorkbook.Worksheets("Teklif Formu")</t>
        </is>
      </c>
    </row>
    <row r="79">
      <c r="A79" s="73" t="n">
        <v>75</v>
      </c>
      <c r="B79" s="67" t="inlineStr">
        <is>
          <t xml:space="preserve">    Set hedef = ThisWorkbook.Worksheets("Fatura")</t>
        </is>
      </c>
    </row>
    <row r="80">
      <c r="A80" s="73" t="n">
        <v>76</v>
      </c>
      <c r="B80" s="67" t="inlineStr">
        <is>
          <t xml:space="preserve">    no = CStr(kaynak.Range("J3").Text)</t>
        </is>
      </c>
    </row>
    <row r="81">
      <c r="A81" s="73" t="n">
        <v>77</v>
      </c>
      <c r="B81" s="67" t="inlineStr">
        <is>
          <t xml:space="preserve">    hedef.Unprotect Password:=""</t>
        </is>
      </c>
    </row>
    <row r="82">
      <c r="A82" s="73" t="n">
        <v>78</v>
      </c>
      <c r="B82" s="67" t="inlineStr">
        <is>
          <t xml:space="preserve">    kaynak.Range("A1:K40").Copy</t>
        </is>
      </c>
    </row>
    <row r="83">
      <c r="A83" s="73" t="n">
        <v>79</v>
      </c>
      <c r="B83" s="67" t="inlineStr">
        <is>
          <t xml:space="preserve">    hedef.Range("A1").PasteSpecial xlPasteAll</t>
        </is>
      </c>
    </row>
    <row r="84">
      <c r="A84" s="73" t="n">
        <v>80</v>
      </c>
      <c r="B84" s="67" t="inlineStr">
        <is>
          <t xml:space="preserve">    Application.CutCopyMode = False</t>
        </is>
      </c>
    </row>
    <row r="85">
      <c r="A85" s="73" t="n">
        <v>81</v>
      </c>
      <c r="B85" s="67" t="inlineStr">
        <is>
          <t xml:space="preserve">    ' İkinci PasteSpecial kaldırıldı; birleşik hücrelerde 1004 hatasını önler.</t>
        </is>
      </c>
    </row>
    <row r="86">
      <c r="A86" s="73" t="n">
        <v>82</v>
      </c>
      <c r="B86" s="67" t="inlineStr">
        <is>
          <t xml:space="preserve">    hedef.Range("B1").Value = "FATURA TASLAĞI"</t>
        </is>
      </c>
    </row>
    <row r="87">
      <c r="A87" s="73" t="n">
        <v>83</v>
      </c>
      <c r="B87" s="67" t="inlineStr">
        <is>
          <t xml:space="preserve">    hedef.Range("H3").Value = "Fatura No"</t>
        </is>
      </c>
    </row>
    <row r="88">
      <c r="A88" s="73" t="n">
        <v>84</v>
      </c>
      <c r="B88" s="67" t="inlineStr">
        <is>
          <t xml:space="preserve">    hedef.Range("J3").Value = Replace(no, "TKL-", "FTR-")</t>
        </is>
      </c>
    </row>
    <row r="89">
      <c r="A89" s="73" t="n">
        <v>85</v>
      </c>
      <c r="B89" s="67" t="inlineStr">
        <is>
          <t xml:space="preserve">    With hedef.PageSetup</t>
        </is>
      </c>
    </row>
    <row r="90">
      <c r="A90" s="73" t="n">
        <v>86</v>
      </c>
      <c r="B90" s="67" t="inlineStr">
        <is>
          <t xml:space="preserve">        .PrintArea = "$A$1:$K$40"</t>
        </is>
      </c>
    </row>
    <row r="91">
      <c r="A91" s="73" t="n">
        <v>87</v>
      </c>
      <c r="B91" s="67" t="inlineStr">
        <is>
          <t xml:space="preserve">        .Orientation = xlPortrait</t>
        </is>
      </c>
    </row>
    <row r="92">
      <c r="A92" s="73" t="n">
        <v>88</v>
      </c>
      <c r="B92" s="67" t="inlineStr">
        <is>
          <t xml:space="preserve">        .PaperSize = xlPaperA4</t>
        </is>
      </c>
    </row>
    <row r="93">
      <c r="A93" s="73" t="n">
        <v>89</v>
      </c>
      <c r="B93" s="67" t="inlineStr">
        <is>
          <t xml:space="preserve">        .Zoom = False</t>
        </is>
      </c>
    </row>
    <row r="94">
      <c r="A94" s="73" t="n">
        <v>90</v>
      </c>
      <c r="B94" s="67" t="inlineStr">
        <is>
          <t xml:space="preserve">        .FitToPagesWide = 1</t>
        </is>
      </c>
    </row>
    <row r="95">
      <c r="A95" s="73" t="n">
        <v>91</v>
      </c>
      <c r="B95" s="67" t="inlineStr">
        <is>
          <t xml:space="preserve">        .FitToPagesTall = 1</t>
        </is>
      </c>
    </row>
    <row r="96">
      <c r="A96" s="73" t="n">
        <v>92</v>
      </c>
      <c r="B96" s="67" t="inlineStr">
        <is>
          <t xml:space="preserve">    End With</t>
        </is>
      </c>
    </row>
    <row r="97">
      <c r="A97" s="73" t="n">
        <v>93</v>
      </c>
      <c r="B97" s="67" t="inlineStr">
        <is>
          <t xml:space="preserve">    TeklifIslemLoguV2 "Faturaya aktarıldı", no, "Başarılı", ""</t>
        </is>
      </c>
    </row>
    <row r="98">
      <c r="A98" s="73" t="n">
        <v>94</v>
      </c>
      <c r="B98" s="67" t="inlineStr">
        <is>
          <t xml:space="preserve">    hedef.Activate</t>
        </is>
      </c>
    </row>
    <row r="99">
      <c r="A99" s="73" t="n">
        <v>95</v>
      </c>
      <c r="B99" s="67" t="inlineStr">
        <is>
          <t xml:space="preserve">    MsgBox "Teklif fatura taslağına aktarıldı.", vbInformation</t>
        </is>
      </c>
    </row>
    <row r="100">
      <c r="A100" s="73" t="n">
        <v>96</v>
      </c>
      <c r="B100" s="67" t="inlineStr">
        <is>
          <t xml:space="preserve">    Exit Sub</t>
        </is>
      </c>
    </row>
    <row r="101">
      <c r="A101" s="73" t="n">
        <v>97</v>
      </c>
      <c r="B101" s="67" t="inlineStr">
        <is>
          <t>Hata:</t>
        </is>
      </c>
    </row>
    <row r="102">
      <c r="A102" s="73" t="n">
        <v>98</v>
      </c>
      <c r="B102" s="67" t="inlineStr">
        <is>
          <t xml:space="preserve">    MsgBox "Faturaya aktarma başarısız. Hata " &amp; Err.Number &amp; ": " &amp; Err.Description, vbExclamation</t>
        </is>
      </c>
    </row>
    <row r="103">
      <c r="A103" s="73" t="n">
        <v>99</v>
      </c>
      <c r="B103" s="67" t="inlineStr">
        <is>
          <t>End Sub</t>
        </is>
      </c>
    </row>
    <row r="104">
      <c r="A104" s="73" t="n">
        <v>100</v>
      </c>
      <c r="B104" s="67" t="n"/>
    </row>
    <row r="105">
      <c r="A105" s="73" t="n">
        <v>101</v>
      </c>
      <c r="B105" s="67" t="inlineStr">
        <is>
          <t>Public Sub YonetimDugmeleriniBaglaV2()</t>
        </is>
      </c>
    </row>
    <row r="106">
      <c r="A106" s="73" t="n">
        <v>102</v>
      </c>
      <c r="B106" s="67" t="inlineStr">
        <is>
          <t xml:space="preserve">    On Error GoTo Hata</t>
        </is>
      </c>
    </row>
    <row r="107">
      <c r="A107" s="73" t="n">
        <v>103</v>
      </c>
      <c r="B107" s="67" t="inlineStr">
        <is>
          <t xml:space="preserve">    Dim ws As Worksheet, kitap As String</t>
        </is>
      </c>
    </row>
    <row r="108">
      <c r="A108" s="73" t="n">
        <v>104</v>
      </c>
      <c r="B108" s="67" t="inlineStr">
        <is>
          <t xml:space="preserve">    Set ws = ThisWorkbook.Worksheets("Teklif Yönetimi")</t>
        </is>
      </c>
    </row>
    <row r="109">
      <c r="A109" s="73" t="n">
        <v>105</v>
      </c>
      <c r="B109" s="67" t="inlineStr">
        <is>
          <t xml:space="preserve">    kitap = "'" &amp; ThisWorkbook.Name &amp; "'!"</t>
        </is>
      </c>
    </row>
    <row r="110">
      <c r="A110" s="73" t="n">
        <v>106</v>
      </c>
      <c r="B110" s="67" t="inlineStr">
        <is>
          <t xml:space="preserve">    ws.Shapes("Yeni Teklif Düğmesi").OnAction = kitap &amp; "YeniTeklifV2"</t>
        </is>
      </c>
    </row>
    <row r="111">
      <c r="A111" s="73" t="n">
        <v>107</v>
      </c>
      <c r="B111" s="67" t="inlineStr">
        <is>
          <t xml:space="preserve">    ws.Shapes("Arşivle Düğmesi").OnAction = kitap &amp; "TeklifiArsivleV2"</t>
        </is>
      </c>
    </row>
    <row r="112">
      <c r="A112" s="73" t="n">
        <v>108</v>
      </c>
      <c r="B112" s="67" t="inlineStr">
        <is>
          <t xml:space="preserve">    ws.Shapes("Faturaya Aktar Düğmesi").OnAction = kitap &amp; "TeklifiFaturayaAktarV2"</t>
        </is>
      </c>
    </row>
    <row r="113">
      <c r="A113" s="73" t="n">
        <v>109</v>
      </c>
      <c r="B113" s="67" t="inlineStr">
        <is>
          <t xml:space="preserve">    ws.Shapes("Yönetim PDF Düğmesi").OnAction = kitap &amp; "TeklifiMasaustunePDFKaydetV2"</t>
        </is>
      </c>
    </row>
    <row r="114">
      <c r="A114" s="73" t="n">
        <v>110</v>
      </c>
      <c r="B114" s="67" t="inlineStr">
        <is>
          <t xml:space="preserve">    ws.Shapes("Yönetim Outlook Düğmesi").OnAction = kitap &amp; "TeklifiOutlookPDFTaslakV1"</t>
        </is>
      </c>
    </row>
    <row r="115">
      <c r="A115" s="73" t="n">
        <v>111</v>
      </c>
      <c r="B115" s="67" t="inlineStr">
        <is>
          <t xml:space="preserve">    ws.Shapes("Formülleri Koru Düğmesi").OnAction = kitap &amp; "TeklifSayfasiniKoruV2"</t>
        </is>
      </c>
    </row>
    <row r="116">
      <c r="A116" s="73" t="n">
        <v>112</v>
      </c>
      <c r="B116" s="67" t="inlineStr">
        <is>
          <t xml:space="preserve">    ws.Range("A8").Value = "Sistem kontrolü: 6 yönetim düğmesi bağlı ve hazır"</t>
        </is>
      </c>
    </row>
    <row r="117">
      <c r="A117" s="73" t="n">
        <v>113</v>
      </c>
      <c r="B117" s="67" t="inlineStr">
        <is>
          <t xml:space="preserve">    Exit Sub</t>
        </is>
      </c>
    </row>
    <row r="118">
      <c r="A118" s="73" t="n">
        <v>114</v>
      </c>
      <c r="B118" s="67" t="inlineStr">
        <is>
          <t>Hata:</t>
        </is>
      </c>
    </row>
    <row r="119">
      <c r="A119" s="73" t="n">
        <v>115</v>
      </c>
      <c r="B119" s="67" t="inlineStr">
        <is>
          <t xml:space="preserve">    MsgBox "Yönetim düğmeleri bağlanamadı: " &amp; Err.Description, vbExclamation</t>
        </is>
      </c>
    </row>
    <row r="120">
      <c r="A120" s="73" t="n">
        <v>116</v>
      </c>
      <c r="B120" s="67" t="inlineStr">
        <is>
          <t>End Sub</t>
        </is>
      </c>
    </row>
    <row r="121">
      <c r="A121" s="73" t="n">
        <v>117</v>
      </c>
      <c r="B121" s="67" t="n"/>
    </row>
    <row r="122">
      <c r="A122" s="73" t="n">
        <v>118</v>
      </c>
      <c r="B122" s="67" t="inlineStr">
        <is>
          <t>Public Sub TeklifSayfasiniKoruV2()</t>
        </is>
      </c>
    </row>
    <row r="123">
      <c r="A123" s="73" t="n">
        <v>119</v>
      </c>
      <c r="B123" s="67" t="inlineStr">
        <is>
          <t xml:space="preserve">    On Error GoTo Hata</t>
        </is>
      </c>
    </row>
    <row r="124">
      <c r="A124" s="73" t="n">
        <v>120</v>
      </c>
      <c r="B124" s="67" t="inlineStr">
        <is>
          <t xml:space="preserve">    Dim ws As Worksheet</t>
        </is>
      </c>
    </row>
    <row r="125">
      <c r="A125" s="73" t="n">
        <v>121</v>
      </c>
      <c r="B125" s="67" t="inlineStr">
        <is>
          <t xml:space="preserve">    Set ws = ThisWorkbook.Worksheets("Teklif Formu")</t>
        </is>
      </c>
    </row>
    <row r="126">
      <c r="A126" s="73" t="n">
        <v>122</v>
      </c>
      <c r="B126" s="67" t="inlineStr">
        <is>
          <t xml:space="preserve">    ws.Unprotect Password:=""</t>
        </is>
      </c>
    </row>
    <row r="127">
      <c r="A127" s="73" t="n">
        <v>123</v>
      </c>
      <c r="B127" s="67" t="inlineStr">
        <is>
          <t xml:space="preserve">    ws.Cells.Locked = True</t>
        </is>
      </c>
    </row>
    <row r="128">
      <c r="A128" s="73" t="n">
        <v>124</v>
      </c>
      <c r="B128" s="67" t="inlineStr">
        <is>
          <t xml:space="preserve">    ws.Range("D3:G3,J3:K4,A8:A30,D8:E30,G8:G30,I8:I30,A35:F39").Locked = False</t>
        </is>
      </c>
    </row>
    <row r="129">
      <c r="A129" s="73" t="n">
        <v>125</v>
      </c>
      <c r="B129" s="67" t="inlineStr">
        <is>
          <t xml:space="preserve">    ws.Protect Password:="", UserInterfaceOnly:=True, AllowFiltering:=True</t>
        </is>
      </c>
    </row>
    <row r="130">
      <c r="A130" s="73" t="n">
        <v>126</v>
      </c>
      <c r="B130" s="67" t="inlineStr">
        <is>
          <t xml:space="preserve">    ws.EnableSelection = xlUnlockedCells</t>
        </is>
      </c>
    </row>
    <row r="131">
      <c r="A131" s="73" t="n">
        <v>127</v>
      </c>
      <c r="B131" s="67" t="inlineStr">
        <is>
          <t xml:space="preserve">    MsgBox "Formüller korundu; giriş hücreleri açık.", vbInformation</t>
        </is>
      </c>
    </row>
    <row r="132">
      <c r="A132" s="73" t="n">
        <v>128</v>
      </c>
      <c r="B132" s="67" t="inlineStr">
        <is>
          <t xml:space="preserve">    Exit Sub</t>
        </is>
      </c>
    </row>
    <row r="133">
      <c r="A133" s="73" t="n">
        <v>129</v>
      </c>
      <c r="B133" s="67" t="inlineStr">
        <is>
          <t>Hata:</t>
        </is>
      </c>
    </row>
    <row r="134">
      <c r="A134" s="73" t="n">
        <v>130</v>
      </c>
      <c r="B134" s="67" t="inlineStr">
        <is>
          <t xml:space="preserve">    MsgBox "Sayfa koruması uygulanamadı: " &amp; Err.Description, vbExclamation</t>
        </is>
      </c>
    </row>
    <row r="135">
      <c r="A135" s="73" t="n">
        <v>131</v>
      </c>
      <c r="B135" s="67" t="inlineStr">
        <is>
          <t>End Sub</t>
        </is>
      </c>
    </row>
    <row r="136">
      <c r="A136" s="73" t="n">
        <v>132</v>
      </c>
      <c r="B136" s="67" t="n"/>
    </row>
    <row r="137">
      <c r="A137" s="73" t="n">
        <v>133</v>
      </c>
      <c r="B137" s="67" t="inlineStr">
        <is>
          <t>Public Sub TeklifSayfasiKorumasiniKaldirV2()</t>
        </is>
      </c>
    </row>
    <row r="138">
      <c r="A138" s="73" t="n">
        <v>134</v>
      </c>
      <c r="B138" s="67" t="inlineStr">
        <is>
          <t xml:space="preserve">    ThisWorkbook.Worksheets("Teklif Formu").Unprotect Password:=""</t>
        </is>
      </c>
    </row>
    <row r="139">
      <c r="A139" s="73" t="n">
        <v>135</v>
      </c>
      <c r="B139" s="67" t="inlineStr">
        <is>
          <t xml:space="preserve">    MsgBox "Teklif Formu koruması kaldırıldı.", vbInformation</t>
        </is>
      </c>
    </row>
    <row r="140">
      <c r="A140" s="73" t="n">
        <v>136</v>
      </c>
      <c r="B140" s="67" t="inlineStr">
        <is>
          <t>End Sub</t>
        </is>
      </c>
    </row>
    <row r="141">
      <c r="A141" s="73" t="n">
        <v>137</v>
      </c>
      <c r="B141" s="67" t="n"/>
    </row>
    <row r="142">
      <c r="A142" s="73" t="n">
        <v>138</v>
      </c>
      <c r="B142" s="67" t="inlineStr">
        <is>
          <t>Public Sub TeklifIslemLoguV2(ByVal islem As String, ByVal teklifNo As String, ByVal sonuc As String, ByVal dosyaYolu As String)</t>
        </is>
      </c>
    </row>
    <row r="143">
      <c r="A143" s="73" t="n">
        <v>139</v>
      </c>
      <c r="B143" s="67" t="inlineStr">
        <is>
          <t xml:space="preserve">    Dim t As ListObject, lr As ListRow, f As Worksheet</t>
        </is>
      </c>
    </row>
    <row r="144">
      <c r="A144" s="73" t="n">
        <v>140</v>
      </c>
      <c r="B144" s="67" t="inlineStr">
        <is>
          <t xml:space="preserve">    Set t = ThisWorkbook.Worksheets("İşlem Günlüğü").ListObjects("tblIslemGunlugu")</t>
        </is>
      </c>
    </row>
    <row r="145">
      <c r="A145" s="73" t="n">
        <v>141</v>
      </c>
      <c r="B145" s="67" t="inlineStr">
        <is>
          <t xml:space="preserve">    Set f = ThisWorkbook.Worksheets("Teklif Formu")</t>
        </is>
      </c>
    </row>
    <row r="146">
      <c r="A146" s="73" t="n">
        <v>142</v>
      </c>
      <c r="B146" s="67" t="inlineStr">
        <is>
          <t xml:space="preserve">    Set lr = t.ListRows.Add</t>
        </is>
      </c>
    </row>
    <row r="147">
      <c r="A147" s="73" t="n">
        <v>143</v>
      </c>
      <c r="B147" s="67" t="inlineStr">
        <is>
          <t xml:space="preserve">    With lr.Range</t>
        </is>
      </c>
    </row>
    <row r="148">
      <c r="A148" s="73" t="n">
        <v>144</v>
      </c>
      <c r="B148" s="67" t="inlineStr">
        <is>
          <t xml:space="preserve">        .Cells(1, 1).Value = Now</t>
        </is>
      </c>
    </row>
    <row r="149">
      <c r="A149" s="73" t="n">
        <v>145</v>
      </c>
      <c r="B149" s="67" t="inlineStr">
        <is>
          <t xml:space="preserve">        .Cells(1, 2).Value = islem</t>
        </is>
      </c>
    </row>
    <row r="150">
      <c r="A150" s="73" t="n">
        <v>146</v>
      </c>
      <c r="B150" s="67" t="inlineStr">
        <is>
          <t xml:space="preserve">        .Cells(1, 3).Value = teklifNo</t>
        </is>
      </c>
    </row>
    <row r="151">
      <c r="A151" s="73" t="n">
        <v>147</v>
      </c>
      <c r="B151" s="67" t="inlineStr">
        <is>
          <t xml:space="preserve">        .Cells(1, 4).Value = f.Range("D3").Value</t>
        </is>
      </c>
    </row>
    <row r="152">
      <c r="A152" s="73" t="n">
        <v>148</v>
      </c>
      <c r="B152" s="67" t="inlineStr">
        <is>
          <t xml:space="preserve">        .Cells(1, 5).Value = dosyaYolu</t>
        </is>
      </c>
    </row>
    <row r="153">
      <c r="A153" s="73" t="n">
        <v>149</v>
      </c>
      <c r="B153" s="67" t="inlineStr">
        <is>
          <t xml:space="preserve">        .Cells(1, 6).Value = sonuc</t>
        </is>
      </c>
    </row>
    <row r="154">
      <c r="A154" s="73" t="n">
        <v>150</v>
      </c>
      <c r="B154" s="67" t="inlineStr">
        <is>
          <t xml:space="preserve">    End With</t>
        </is>
      </c>
    </row>
    <row r="155">
      <c r="A155" s="73" t="n">
        <v>151</v>
      </c>
      <c r="B155" s="67" t="inlineStr">
        <is>
          <t>End Sub</t>
        </is>
      </c>
    </row>
    <row r="156">
      <c r="A156" s="73" t="n">
        <v>152</v>
      </c>
      <c r="B156" s="67" t="n"/>
    </row>
    <row r="157">
      <c r="A157" s="73" t="n">
        <v>153</v>
      </c>
      <c r="B157" s="67" t="inlineStr">
        <is>
          <t>Private Function TeklifNoArsivdeVarV2(ByVal no As String) As Boolean</t>
        </is>
      </c>
    </row>
    <row r="158">
      <c r="A158" s="73" t="n">
        <v>154</v>
      </c>
      <c r="B158" s="67" t="inlineStr">
        <is>
          <t xml:space="preserve">    Dim t As ListObject</t>
        </is>
      </c>
    </row>
    <row r="159">
      <c r="A159" s="73" t="n">
        <v>155</v>
      </c>
      <c r="B159" s="67" t="inlineStr">
        <is>
          <t xml:space="preserve">    Set t = ThisWorkbook.Worksheets("Teklif Arşivi").ListObjects("tblTeklifArsivi")</t>
        </is>
      </c>
    </row>
    <row r="160">
      <c r="A160" s="73" t="n">
        <v>156</v>
      </c>
      <c r="B160" s="67" t="inlineStr">
        <is>
          <t xml:space="preserve">    If t.DataBodyRange Is Nothing Then Exit Function</t>
        </is>
      </c>
    </row>
    <row r="161">
      <c r="A161" s="73" t="n">
        <v>157</v>
      </c>
      <c r="B161" s="67" t="inlineStr">
        <is>
          <t xml:space="preserve">    TeklifNoArsivdeVarV2 = (WorksheetFunction.CountIf(t.ListColumns("Teklif No").DataBodyRange, no) &gt; 0)</t>
        </is>
      </c>
    </row>
    <row r="162">
      <c r="A162" s="73" t="n">
        <v>158</v>
      </c>
      <c r="B162" s="67" t="inlineStr">
        <is>
          <t>End Function</t>
        </is>
      </c>
    </row>
  </sheetData>
  <mergeCells count="2">
    <mergeCell ref="A1:B2"/>
    <mergeCell ref="A3:B3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>
  <sheetPr codeName="Sayfa30">
    <outlinePr summaryBelow="1" summaryRight="1"/>
    <pageSetUpPr/>
  </sheetPr>
  <dimension ref="A1:Y10"/>
  <sheetViews>
    <sheetView topLeftCell="B1" workbookViewId="0">
      <selection activeCell="B5" sqref="B5:Y10"/>
    </sheetView>
  </sheetViews>
  <sheetFormatPr baseColWidth="8" defaultRowHeight="15"/>
  <cols>
    <col width="8.5703125" customWidth="1" style="164" min="1" max="1"/>
    <col width="190.42578125" customWidth="1" style="164" min="2" max="2"/>
  </cols>
  <sheetData>
    <row r="1" ht="15" customHeight="1" s="164">
      <c r="A1" s="249" t="inlineStr">
        <is>
          <t>THISWORKBOOK AÇILIŞ KODU — GÜVENLİ SÜRÜM</t>
        </is>
      </c>
    </row>
    <row r="2" ht="15" customHeight="1" s="164">
      <c r="A2" s="248" t="n"/>
      <c r="B2" s="248" t="n"/>
    </row>
    <row r="3">
      <c r="A3" s="250" t="inlineStr">
        <is>
          <t>Gerçek BuÇalışmaKitabı/ThisWorkbook kod alanını tamamen silin; yalnız B5:B10 kodunu yapıştırın. Application.Run kullanıldığı için kur makrosu geçici olarak bulunmasa bile derleme durmaz.</t>
        </is>
      </c>
    </row>
    <row r="4">
      <c r="A4" s="68" t="inlineStr">
        <is>
          <t>Satır</t>
        </is>
      </c>
      <c r="B4" s="68" t="inlineStr">
        <is>
          <t>VBA Kodu</t>
        </is>
      </c>
    </row>
    <row r="5">
      <c r="A5" s="73" t="n">
        <v>1</v>
      </c>
      <c r="B5" s="67" t="inlineStr">
        <is>
          <t>Private Sub Workbook_Open()</t>
        </is>
      </c>
    </row>
    <row r="6">
      <c r="A6" s="73" t="n">
        <v>2</v>
      </c>
      <c r="B6" s="67" t="inlineStr">
        <is>
          <t xml:space="preserve">    On Error Resume Next</t>
        </is>
      </c>
    </row>
    <row r="7">
      <c r="A7" s="73" t="n">
        <v>3</v>
      </c>
      <c r="B7" s="67" t="inlineStr">
        <is>
          <t xml:space="preserve">    Application.Run "'" &amp; ThisWorkbook.Name &amp; "'!IsBankasiKurlariOtomatikV6": Application.Run "'" &amp; ThisWorkbook.Name &amp; "'!YonetimDugmeleriniBaglaV2"</t>
        </is>
      </c>
    </row>
    <row r="8">
      <c r="A8" s="73" t="n">
        <v>4</v>
      </c>
      <c r="B8" s="67" t="inlineStr">
        <is>
          <t xml:space="preserve">    ThisWorkbook.Worksheets("Teklif Formu").Protect Password:="", UserInterfaceOnly:=True, AllowFiltering:=True</t>
        </is>
      </c>
    </row>
    <row r="9">
      <c r="A9" s="73" t="n">
        <v>5</v>
      </c>
      <c r="B9" s="67" t="inlineStr">
        <is>
          <t xml:space="preserve">    On Error GoTo 0</t>
        </is>
      </c>
    </row>
    <row r="10">
      <c r="A10" t="n">
        <v>6</v>
      </c>
      <c r="B10" t="inlineStr">
        <is>
          <t>End Sub</t>
        </is>
      </c>
    </row>
  </sheetData>
  <mergeCells count="2">
    <mergeCell ref="A3:Y3"/>
    <mergeCell ref="A1:Y1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>
  <sheetPr codeName="Sayfa31">
    <outlinePr summaryBelow="1" summaryRight="1"/>
    <pageSetUpPr/>
  </sheetPr>
  <dimension ref="A1:F25"/>
  <sheetViews>
    <sheetView workbookViewId="0">
      <selection activeCell="A5" sqref="A5:F569"/>
    </sheetView>
  </sheetViews>
  <sheetFormatPr baseColWidth="8" defaultRowHeight="15"/>
  <cols>
    <col width="4.28515625" bestFit="1" customWidth="1" style="164" min="1" max="1"/>
    <col width="31.28515625" bestFit="1" customWidth="1" style="164" min="2" max="2"/>
    <col width="35.140625" bestFit="1" customWidth="1" style="164" min="3" max="3"/>
    <col width="27" bestFit="1" customWidth="1" style="164" min="4" max="4"/>
    <col width="10.42578125" bestFit="1" customWidth="1" style="164" min="5" max="5"/>
    <col width="28.28515625" bestFit="1" customWidth="1" style="164" min="6" max="6"/>
  </cols>
  <sheetData>
    <row r="1">
      <c r="A1" s="241" t="inlineStr">
        <is>
          <t>VBA KURULUM MERKEZİ — GÜNCEL MODÜLLER</t>
        </is>
      </c>
    </row>
    <row r="2"/>
    <row r="3">
      <c r="A3" s="242" t="inlineStr">
        <is>
          <t>Her satırdaki kod aralığını ayrı hedefe yapıştırın; eski aynı amaçlı modülü önce silin.</t>
        </is>
      </c>
    </row>
    <row r="5">
      <c r="A5" s="68" t="inlineStr">
        <is>
          <t>Sıra</t>
        </is>
      </c>
      <c r="B5" s="68" t="inlineStr">
        <is>
          <t>Kaynak Aralık</t>
        </is>
      </c>
      <c r="C5" s="68" t="inlineStr">
        <is>
          <t>Hedef</t>
        </is>
      </c>
      <c r="D5" s="68" t="inlineStr">
        <is>
          <t>Giriş Yordamı</t>
        </is>
      </c>
      <c r="E5" s="68" t="inlineStr">
        <is>
          <t>Durum</t>
        </is>
      </c>
      <c r="F5" s="68" t="inlineStr">
        <is>
          <t>Not</t>
        </is>
      </c>
    </row>
    <row r="6">
      <c r="A6" t="n">
        <v>1</v>
      </c>
      <c r="B6" t="inlineStr">
        <is>
          <t>Kur VBA Kopyala!B5:B84</t>
        </is>
      </c>
      <c r="C6" t="inlineStr">
        <is>
          <t>Yeni standart modül: Mod_Kur</t>
        </is>
      </c>
      <c r="D6" t="inlineStr">
        <is>
          <t>IsBankasiKurlariGuncelleV3</t>
        </is>
      </c>
      <c r="E6" t="inlineStr">
        <is>
          <t>GÜNCEL v3</t>
        </is>
      </c>
      <c r="F6" t="inlineStr">
        <is>
          <t>Eski kur modülünü silin</t>
        </is>
      </c>
    </row>
    <row r="7">
      <c r="A7" t="n">
        <v>2</v>
      </c>
      <c r="B7" t="inlineStr">
        <is>
          <t>ThisWorkbook Kodu!B5:B9</t>
        </is>
      </c>
      <c r="C7" t="inlineStr">
        <is>
          <t>VBAProject &gt; ThisWorkbook</t>
        </is>
      </c>
      <c r="D7" t="inlineStr">
        <is>
          <t>Workbook_Open</t>
        </is>
      </c>
      <c r="E7" t="inlineStr">
        <is>
          <t>GÜNCEL</t>
        </is>
      </c>
      <c r="F7" t="inlineStr">
        <is>
          <t>Standart modüle yapıştırmayın</t>
        </is>
      </c>
    </row>
    <row r="8">
      <c r="A8" t="n">
        <v>3</v>
      </c>
      <c r="B8" t="inlineStr">
        <is>
          <t>WhatsApp VBA Kopyala!B5:B150</t>
        </is>
      </c>
      <c r="C8" t="inlineStr">
        <is>
          <t>Yeni standart modül: Mod_WhatsApp</t>
        </is>
      </c>
      <c r="D8" t="inlineStr">
        <is>
          <t>TumFonksiyonlariTestEtV5</t>
        </is>
      </c>
      <c r="E8" t="inlineStr">
        <is>
          <t>GÜNCEL v5</t>
        </is>
      </c>
      <c r="F8" t="inlineStr">
        <is>
          <t>Eski WhatsApp modülünü silin</t>
        </is>
      </c>
    </row>
    <row r="9">
      <c r="A9" t="n">
        <v>4</v>
      </c>
      <c r="B9" t="inlineStr">
        <is>
          <t>PDF VBA Kopyala!B5:B86</t>
        </is>
      </c>
      <c r="C9" t="inlineStr">
        <is>
          <t>Yeni standart modül: Mod_PDF</t>
        </is>
      </c>
      <c r="D9" t="inlineStr">
        <is>
          <t>PDFKaydetTestiV2</t>
        </is>
      </c>
      <c r="E9" t="inlineStr">
        <is>
          <t>GÜNCEL v2</t>
        </is>
      </c>
      <c r="F9" t="inlineStr">
        <is>
          <t>Eski PDF modülünü silin</t>
        </is>
      </c>
    </row>
    <row r="10">
      <c r="A10" t="n">
        <v>5</v>
      </c>
      <c r="B10" t="inlineStr">
        <is>
          <t>Outlook VBA Kopyala!B5:B96</t>
        </is>
      </c>
      <c r="C10" t="inlineStr">
        <is>
          <t>Yeni standart modül: Mod_Outlook</t>
        </is>
      </c>
      <c r="D10" t="inlineStr">
        <is>
          <t>OutlookPDFTestiV1</t>
        </is>
      </c>
      <c r="E10" t="inlineStr">
        <is>
          <t>GÜNCEL</t>
        </is>
      </c>
      <c r="F10" t="inlineStr">
        <is>
          <t>Klasik Outlook gerekir</t>
        </is>
      </c>
    </row>
    <row r="11">
      <c r="A11" t="n">
        <v>6</v>
      </c>
      <c r="B11" t="inlineStr">
        <is>
          <t>Yönetim VBA Kopyala!B5:B162</t>
        </is>
      </c>
      <c r="C11" t="inlineStr">
        <is>
          <t>Yeni standart modül: Mod_Yonetim</t>
        </is>
      </c>
      <c r="D11" t="inlineStr">
        <is>
          <t>YonetimDugmeleriniBaglaV2</t>
        </is>
      </c>
      <c r="E11" t="inlineStr">
        <is>
          <t>GÜNCEL v2</t>
        </is>
      </c>
      <c r="F11" t="inlineStr">
        <is>
          <t>Düğmeleri bir kez bağlayın</t>
        </is>
      </c>
    </row>
    <row r="13">
      <c r="A13" s="182" t="inlineStr">
        <is>
          <t>SON TEST SIRASI</t>
        </is>
      </c>
    </row>
    <row r="14">
      <c r="A14" t="n">
        <v>1</v>
      </c>
      <c r="B14" t="inlineStr">
        <is>
          <t>Hata Ayıklama &gt; VBAProject Derle</t>
        </is>
      </c>
      <c r="C14" t="inlineStr">
        <is>
          <t>Derleme hatası olmamalı</t>
        </is>
      </c>
    </row>
    <row r="15">
      <c r="A15" t="n">
        <v>2</v>
      </c>
      <c r="B15" t="inlineStr">
        <is>
          <t>TumFonksiyonlariTestEtV5</t>
        </is>
      </c>
      <c r="C15" t="inlineStr">
        <is>
          <t>v5 mesajı görünmeli</t>
        </is>
      </c>
    </row>
    <row r="16">
      <c r="A16" t="n">
        <v>3</v>
      </c>
      <c r="B16" t="inlineStr">
        <is>
          <t>PDFKaydetTestiV2</t>
        </is>
      </c>
      <c r="C16" t="inlineStr">
        <is>
          <t>PDF oluşmalı ve klasör açılmalı</t>
        </is>
      </c>
    </row>
    <row r="17">
      <c r="A17" t="n">
        <v>4</v>
      </c>
      <c r="B17" t="inlineStr">
        <is>
          <t>YonetimDugmeleriniBaglaV2</t>
        </is>
      </c>
      <c r="C17" t="inlineStr">
        <is>
          <t>Teklif Yönetimi düğmeleri aktif olmalı</t>
        </is>
      </c>
    </row>
    <row r="19" ht="15" customHeight="1" s="164">
      <c r="A19" s="251" t="inlineStr">
        <is>
          <t>KESİN ÇÖZÜM — HÜCREDEN KOPYALAMAK YERİNE Mod_TeklifSistemi.bas DOSYASINI İÇE AKTARIN</t>
        </is>
      </c>
    </row>
    <row r="20" ht="15" customHeight="1" s="164">
      <c r="A20" s="250" t="inlineStr">
        <is>
          <t>Alt+F11 → ana çalışma kitabı VBAProject → File/Dosya &gt; Import File/Dosya Al → Mod_TeklifSistemi.bas</t>
        </is>
      </c>
    </row>
    <row r="21" ht="15" customHeight="1" s="164">
      <c r="A21" s="250" t="inlineStr">
        <is>
          <t>Sonra Debug/Hata Ayıklama &gt; Compile VBAProject. FUNCRES.XLAM ve RibbonX_Code öğelerine dokunmayın.</t>
        </is>
      </c>
    </row>
    <row r="22">
      <c r="A22" s="250" t="inlineStr">
        <is>
          <t>3) Ekle → Modül ile bir adet boş standart modül oluşturun.</t>
        </is>
      </c>
    </row>
    <row r="23">
      <c r="A23" s="250" t="inlineStr">
        <is>
          <t>4) TEK VBA MODÜLÜ sayfasındaki A5:A569 aralığını yeni ve tamamen boş standart modüle yapıştırın.</t>
        </is>
      </c>
    </row>
    <row r="24">
      <c r="A24" s="250" t="inlineStr">
        <is>
          <t>5) ThisWorkbook Kodu!B5:B9 içeriğini VBAProject içindeki ThisWorkbook koduyla değiştirin.</t>
        </is>
      </c>
    </row>
    <row r="25">
      <c r="A25" s="250" t="inlineStr">
        <is>
          <t>6) Modül içinde Ctrl+A → Delete yaptıktan sonra yapıştırın; Hata Ayıklama → VBAProject Derle çalıştırın.</t>
        </is>
      </c>
    </row>
  </sheetData>
  <mergeCells count="10">
    <mergeCell ref="A24:F24"/>
    <mergeCell ref="A13:F13"/>
    <mergeCell ref="A19:F19"/>
    <mergeCell ref="A23:F23"/>
    <mergeCell ref="A1:F2"/>
    <mergeCell ref="A22:F22"/>
    <mergeCell ref="A3:F3"/>
    <mergeCell ref="A21:F21"/>
    <mergeCell ref="A20:F20"/>
    <mergeCell ref="A25:F25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>
  <sheetPr codeName="Sayfa32">
    <outlinePr summaryBelow="1" summaryRight="1"/>
    <pageSetUpPr/>
  </sheetPr>
  <dimension ref="A1:Y971"/>
  <sheetViews>
    <sheetView topLeftCell="A5" zoomScale="40" zoomScaleNormal="40" workbookViewId="0">
      <selection activeCell="A5" sqref="A5:Y569"/>
    </sheetView>
  </sheetViews>
  <sheetFormatPr baseColWidth="8" defaultRowHeight="15"/>
  <cols>
    <col width="114.28515625" customWidth="1" style="164" min="1" max="1"/>
    <col width="3.85546875" customWidth="1" style="164" min="2" max="2"/>
  </cols>
  <sheetData>
    <row r="1" ht="21" customHeight="1" s="164">
      <c r="A1" s="252" t="inlineStr">
        <is>
          <t>MODULE1 — v9 GÜNCEL KAYNAK (2026.10.21)</t>
        </is>
      </c>
    </row>
    <row r="2" ht="21" customHeight="1" s="164">
      <c r="A2" s="82" t="inlineStr">
        <is>
          <t>Gömülü VBA güncellendi. Yedek: Mod_TeklifSistemi.bas</t>
        </is>
      </c>
      <c r="B2" s="82" t="n"/>
    </row>
    <row r="3" ht="15" customHeight="1" s="164">
      <c r="A3" s="253" t="inlineStr">
        <is>
          <t>İlk açılışta Alt+F11 → Debug → Compile VBAProject</t>
        </is>
      </c>
    </row>
    <row r="4" ht="60" customHeight="1" s="164">
      <c r="A4" s="83" t="inlineStr">
        <is>
          <t>VBA</t>
        </is>
      </c>
      <c r="B4" s="83" t="inlineStr">
        <is>
          <t>VBA Kodu</t>
        </is>
      </c>
    </row>
    <row r="5">
      <c r="A5" s="80" t="inlineStr">
        <is>
          <t>Option Explicit</t>
        </is>
      </c>
      <c r="B5" s="67" t="n"/>
    </row>
    <row r="6">
      <c r="A6" s="80" t="inlineStr"/>
      <c r="B6" s="67" t="n"/>
    </row>
    <row r="7">
      <c r="A7" s="80" t="inlineStr">
        <is>
          <t>Private Const SURUM As String = "2026.10.21-v9"</t>
        </is>
      </c>
      <c r="B7" s="77" t="n"/>
    </row>
    <row r="8">
      <c r="A8" s="80" t="inlineStr">
        <is>
          <t>Private Const KUR_URL As String = "https://www.isbank.com.tr/doviz-kurlari"</t>
        </is>
      </c>
      <c r="B8" s="67" t="n"/>
    </row>
    <row r="9">
      <c r="A9" s="80" t="inlineStr">
        <is>
          <t>Private Const WHATSAPP_BEKLEME_SANIYE As Long = 25</t>
        </is>
      </c>
      <c r="B9" s="67" t="n"/>
    </row>
    <row r="10">
      <c r="A10" s="80" t="inlineStr">
        <is>
          <t>Private Const SIFRE As String = ""</t>
        </is>
      </c>
      <c r="B10" s="67" t="n"/>
    </row>
    <row r="11">
      <c r="A11" s="80" t="inlineStr"/>
      <c r="B11" s="67" t="n"/>
    </row>
    <row r="12">
      <c r="A12" s="80" t="inlineStr">
        <is>
          <t>#If VBA7 Then</t>
        </is>
      </c>
      <c r="B12" s="67" t="n"/>
    </row>
    <row r="13">
      <c r="A13" s="80" t="inlineStr">
        <is>
          <t>Private Declare PtrSafe Function GetWindow Lib "user32" (ByVal hWnd As LongPtr, ByVal wCmd As Long) As LongPtr</t>
        </is>
      </c>
      <c r="B13" s="67" t="n"/>
    </row>
    <row r="14">
      <c r="A14" s="80" t="inlineStr">
        <is>
          <t>Private Declare PtrSafe Function GetDesktopWindow Lib "user32" () As LongPtr</t>
        </is>
      </c>
      <c r="B14" s="67" t="n"/>
    </row>
    <row r="15">
      <c r="A15" s="81" t="inlineStr">
        <is>
          <t>Private Declare PtrSafe Function GetWindowTextW Lib "user32" (ByVal hWnd As LongPtr, ByVal lpString As LongPtr, ByVal cch As Long) As Long</t>
        </is>
      </c>
      <c r="B15" s="67" t="n"/>
    </row>
    <row r="16">
      <c r="A16" s="80" t="inlineStr">
        <is>
          <t>Private Declare PtrSafe Function IsWindowVisible Lib "user32" (ByVal hWnd As LongPtr) As Long</t>
        </is>
      </c>
      <c r="B16" s="67" t="n"/>
    </row>
    <row r="17">
      <c r="A17" s="80" t="inlineStr">
        <is>
          <t>Private Declare PtrSafe Function IsIconic Lib "user32" (ByVal hWnd As LongPtr) As Long</t>
        </is>
      </c>
      <c r="B17" s="67" t="n"/>
    </row>
    <row r="18">
      <c r="A18" s="80" t="inlineStr">
        <is>
          <t>Private Declare PtrSafe Function ShowWindow Lib "user32" (ByVal hWnd As LongPtr, ByVal nCmdShow As Long) As Long</t>
        </is>
      </c>
      <c r="B18" s="67" t="n"/>
    </row>
    <row r="19">
      <c r="A19" s="80" t="inlineStr">
        <is>
          <t>Private Declare PtrSafe Function SetForegroundWindow Lib "user32" (ByVal hWnd As LongPtr) As Long</t>
        </is>
      </c>
      <c r="B19" s="67" t="n"/>
    </row>
    <row r="20">
      <c r="A20" s="80" t="inlineStr">
        <is>
          <t>#Else</t>
        </is>
      </c>
      <c r="B20" s="67" t="n"/>
    </row>
    <row r="21">
      <c r="A21" s="80" t="inlineStr">
        <is>
          <t>Private Declare Function GetWindow Lib "user32" (ByVal hWnd As Long, ByVal wCmd As Long) As Long</t>
        </is>
      </c>
      <c r="B21" s="67" t="n"/>
    </row>
    <row r="22">
      <c r="A22" s="80" t="inlineStr">
        <is>
          <t>Private Declare Function GetDesktopWindow Lib "user32" () As Long</t>
        </is>
      </c>
      <c r="B22" s="67" t="n"/>
    </row>
    <row r="23">
      <c r="A23" s="80" t="inlineStr">
        <is>
          <t>Private Declare Function GetWindowTextW Lib "user32" (ByVal hWnd As Long, ByVal lpString As Long, ByVal cch As Long) As Long</t>
        </is>
      </c>
      <c r="B23" s="67" t="n"/>
    </row>
    <row r="24">
      <c r="A24" s="80" t="inlineStr">
        <is>
          <t>Private Declare Function IsWindowVisible Lib "user32" (ByVal hWnd As Long) As Long</t>
        </is>
      </c>
      <c r="B24" s="67" t="n"/>
    </row>
    <row r="25">
      <c r="A25" s="80" t="inlineStr">
        <is>
          <t>Private Declare Function IsIconic Lib "user32" (ByVal hWnd As Long) As Long</t>
        </is>
      </c>
      <c r="B25" s="67" t="n"/>
    </row>
    <row r="26">
      <c r="A26" s="80" t="inlineStr">
        <is>
          <t>Private Declare Function ShowWindow Lib "user32" (ByVal hWnd As Long, ByVal nCmdShow As Long) As Long</t>
        </is>
      </c>
      <c r="B26" s="67" t="n"/>
    </row>
    <row r="27">
      <c r="A27" s="80" t="inlineStr">
        <is>
          <t>Private Declare Function SetForegroundWindow Lib "user32" (ByVal hWnd As Long) As Long</t>
        </is>
      </c>
      <c r="B27" s="67" t="n"/>
    </row>
    <row r="28">
      <c r="A28" s="80" t="inlineStr">
        <is>
          <t>#End If</t>
        </is>
      </c>
      <c r="B28" s="67" t="n"/>
    </row>
    <row r="29">
      <c r="A29" s="80" t="inlineStr"/>
      <c r="B29" s="67" t="n"/>
    </row>
    <row r="30">
      <c r="A30" s="80" t="inlineStr">
        <is>
          <t>Rem ===== ORTAK YARDIMCILAR =====</t>
        </is>
      </c>
      <c r="B30" s="67" t="n"/>
    </row>
    <row r="31">
      <c r="A31" s="80" t="inlineStr"/>
      <c r="B31" s="67" t="n"/>
    </row>
    <row r="32">
      <c r="A32" s="80" t="inlineStr">
        <is>
          <t>Private Function TeklifSayfasi() As Worksheet</t>
        </is>
      </c>
      <c r="B32" s="67" t="n"/>
    </row>
    <row r="33">
      <c r="A33" s="80" t="inlineStr">
        <is>
          <t xml:space="preserve">    Set TeklifSayfasi = ThisWorkbook.Worksheets("Teklif Formu")</t>
        </is>
      </c>
      <c r="B33" s="67" t="n"/>
    </row>
    <row r="34">
      <c r="A34" s="80" t="inlineStr">
        <is>
          <t>End Function</t>
        </is>
      </c>
      <c r="B34" s="67" t="n"/>
    </row>
    <row r="35">
      <c r="A35" s="80" t="inlineStr"/>
      <c r="B35" s="67" t="n"/>
    </row>
    <row r="36">
      <c r="A36" s="80" t="inlineStr">
        <is>
          <t>Private Function AyarlarSayfasi() As Worksheet</t>
        </is>
      </c>
      <c r="B36" s="67" t="n"/>
    </row>
    <row r="37">
      <c r="A37" s="80" t="inlineStr">
        <is>
          <t xml:space="preserve">    Set AyarlarSayfasi = ThisWorkbook.Worksheets("Ayarlar")</t>
        </is>
      </c>
      <c r="B37" s="67" t="n"/>
    </row>
    <row r="38">
      <c r="A38" s="80" t="inlineStr">
        <is>
          <t>End Function</t>
        </is>
      </c>
      <c r="B38" s="67" t="n"/>
    </row>
    <row r="39">
      <c r="A39" s="80" t="inlineStr"/>
      <c r="B39" s="67" t="n"/>
    </row>
    <row r="40">
      <c r="A40" s="80" t="inlineStr">
        <is>
          <t>Private Function ArsivTablosu() As ListObject</t>
        </is>
      </c>
      <c r="B40" s="67" t="n"/>
    </row>
    <row r="41">
      <c r="A41" s="80" t="inlineStr">
        <is>
          <t xml:space="preserve">    Set ArsivTablosu = ThisWorkbook.Worksheets("Teklif Arşivi").ListObjects("tblTeklifArsivi")</t>
        </is>
      </c>
      <c r="B41" s="67" t="n"/>
    </row>
    <row r="42">
      <c r="A42" s="80" t="inlineStr">
        <is>
          <t>End Function</t>
        </is>
      </c>
      <c r="B42" s="67" t="n"/>
    </row>
    <row r="43">
      <c r="A43" s="80" t="inlineStr"/>
      <c r="B43" s="67" t="n"/>
    </row>
    <row r="44">
      <c r="A44" s="80" t="inlineStr">
        <is>
          <t>Private Function GunlukTablosu() As ListObject</t>
        </is>
      </c>
      <c r="B44" s="67" t="n"/>
    </row>
    <row r="45">
      <c r="A45" s="80" t="inlineStr">
        <is>
          <t xml:space="preserve">    Set GunlukTablosu = ThisWorkbook.Worksheets("İşlem Günlüğü").ListObjects("tblIslemGunlugu")</t>
        </is>
      </c>
      <c r="B45" s="67" t="n"/>
    </row>
    <row r="46">
      <c r="A46" s="80" t="inlineStr">
        <is>
          <t>End Function</t>
        </is>
      </c>
      <c r="B46" s="67" t="n"/>
    </row>
    <row r="47">
      <c r="A47" s="80" t="inlineStr"/>
      <c r="B47" s="67" t="n"/>
    </row>
    <row r="48">
      <c r="A48" s="80" t="inlineStr">
        <is>
          <t>' Hücrenin .Text değeri dar sütunda "####" döner; numara her zaman .Value'dan okunur.</t>
        </is>
      </c>
      <c r="B48" s="67" t="n"/>
    </row>
    <row r="49">
      <c r="A49" s="80" t="inlineStr">
        <is>
          <t>Private Function AktifTeklifNo() As String</t>
        </is>
      </c>
      <c r="B49" s="67" t="n"/>
    </row>
    <row r="50">
      <c r="A50" s="80" t="inlineStr">
        <is>
          <t xml:space="preserve">    AktifTeklifNo = Trim$(CStr(TeklifSayfasi.Range("J3").Value))</t>
        </is>
      </c>
      <c r="B50" s="67" t="n"/>
    </row>
    <row r="51">
      <c r="A51" s="80" t="inlineStr">
        <is>
          <t>End Function</t>
        </is>
      </c>
      <c r="B51" s="67" t="n"/>
    </row>
    <row r="52">
      <c r="A52" s="80" t="inlineStr"/>
      <c r="B52" s="67" t="n"/>
    </row>
    <row r="53">
      <c r="A53" s="80" t="inlineStr">
        <is>
          <t>Private Function Sayi(ByVal v As Variant) As Double</t>
        </is>
      </c>
      <c r="B53" s="67" t="n"/>
    </row>
    <row r="54">
      <c r="A54" s="80" t="inlineStr">
        <is>
          <t xml:space="preserve">    If IsError(v) Then Exit Function</t>
        </is>
      </c>
      <c r="B54" s="67" t="n"/>
    </row>
    <row r="55">
      <c r="A55" s="80" t="inlineStr">
        <is>
          <t xml:space="preserve">    If IsNumeric(v) Then Sayi = CDbl(v)</t>
        </is>
      </c>
      <c r="B55" s="67" t="n"/>
    </row>
    <row r="56">
      <c r="A56" s="80" t="inlineStr">
        <is>
          <t>End Function</t>
        </is>
      </c>
      <c r="B56" s="67" t="n"/>
    </row>
    <row r="57">
      <c r="A57" s="80" t="inlineStr"/>
      <c r="B57" s="67" t="n"/>
    </row>
    <row r="58">
      <c r="A58" s="80" t="inlineStr">
        <is>
          <t>Private Sub KlasorOlustur(ByVal yol As String)</t>
        </is>
      </c>
      <c r="B58" s="67" t="n"/>
    </row>
    <row r="59">
      <c r="A59" s="80" t="inlineStr">
        <is>
          <t xml:space="preserve">    Dim parca As Variant, birikim As String, i As Long</t>
        </is>
      </c>
      <c r="B59" s="67" t="n"/>
    </row>
    <row r="60">
      <c r="A60" s="80" t="inlineStr">
        <is>
          <t xml:space="preserve">    If Len(yol) = 0 Then Exit Sub</t>
        </is>
      </c>
      <c r="B60" s="67" t="n"/>
    </row>
    <row r="61">
      <c r="A61" s="80" t="inlineStr">
        <is>
          <t xml:space="preserve">    If Len(Dir$(yol, vbDirectory)) &gt; 0 Then Exit Sub</t>
        </is>
      </c>
      <c r="B61" s="67" t="n"/>
    </row>
    <row r="62">
      <c r="A62" s="80" t="inlineStr">
        <is>
          <t xml:space="preserve">    parca = Split(yol, "\")</t>
        </is>
      </c>
      <c r="B62" s="67" t="n"/>
    </row>
    <row r="63">
      <c r="A63" s="80" t="inlineStr">
        <is>
          <t xml:space="preserve">    If UBound(parca) &lt; 0 Then Exit Sub</t>
        </is>
      </c>
      <c r="B63" s="67" t="n"/>
    </row>
    <row r="64">
      <c r="A64" s="80" t="inlineStr">
        <is>
          <t xml:space="preserve">    birikim = parca(0)</t>
        </is>
      </c>
      <c r="B64" s="67" t="n"/>
    </row>
    <row r="65">
      <c r="A65" s="80" t="inlineStr">
        <is>
          <t xml:space="preserve">    For i = 1 To UBound(parca)</t>
        </is>
      </c>
      <c r="B65" s="67" t="n"/>
    </row>
    <row r="66">
      <c r="A66" s="80" t="inlineStr">
        <is>
          <t xml:space="preserve">        birikim = birikim &amp; "\" &amp; parca(i)</t>
        </is>
      </c>
      <c r="B66" s="67" t="n"/>
    </row>
    <row r="67">
      <c r="A67" s="80" t="inlineStr">
        <is>
          <t xml:space="preserve">        If Len(Dir$(birikim, vbDirectory)) = 0 Then MkDir birikim</t>
        </is>
      </c>
      <c r="B67" s="67" t="n"/>
    </row>
    <row r="68">
      <c r="A68" s="80" t="inlineStr">
        <is>
          <t xml:space="preserve">    Next i</t>
        </is>
      </c>
      <c r="B68" s="67" t="n"/>
    </row>
    <row r="69">
      <c r="A69" s="80" t="inlineStr">
        <is>
          <t>End Sub</t>
        </is>
      </c>
      <c r="B69" s="67" t="n"/>
    </row>
    <row r="70">
      <c r="A70" s="80" t="inlineStr"/>
      <c r="B70" s="67" t="n"/>
    </row>
    <row r="71">
      <c r="A71" s="80" t="inlineStr">
        <is>
          <t>Private Function DosyaAdiTemizle(ByVal metin As String) As String</t>
        </is>
      </c>
      <c r="B71" s="67" t="n"/>
    </row>
    <row r="72">
      <c r="A72" s="80" t="inlineStr">
        <is>
          <t xml:space="preserve">    Dim yasak As Variant, x As Variant, i As Long</t>
        </is>
      </c>
      <c r="B72" s="67" t="n"/>
    </row>
    <row r="73">
      <c r="A73" s="80" t="inlineStr">
        <is>
          <t xml:space="preserve">    yasak = Array("\", "/", ":", "*", "?", Chr$(34), "&lt;", "&gt;", "|")</t>
        </is>
      </c>
      <c r="B73" s="67" t="n"/>
    </row>
    <row r="74">
      <c r="A74" s="80" t="inlineStr">
        <is>
          <t xml:space="preserve">    For Each x In yasak</t>
        </is>
      </c>
      <c r="B74" s="67" t="n"/>
    </row>
    <row r="75">
      <c r="A75" s="80" t="inlineStr">
        <is>
          <t xml:space="preserve">        metin = Replace(metin, CStr(x), "-")</t>
        </is>
      </c>
      <c r="B75" s="67" t="n"/>
    </row>
    <row r="76">
      <c r="A76" s="80" t="inlineStr">
        <is>
          <t xml:space="preserve">    Next x</t>
        </is>
      </c>
      <c r="B76" s="67" t="n"/>
    </row>
    <row r="77">
      <c r="A77" s="80" t="inlineStr">
        <is>
          <t xml:space="preserve">    For i = 0 To 31</t>
        </is>
      </c>
      <c r="B77" s="67" t="n"/>
    </row>
    <row r="78">
      <c r="A78" s="80" t="inlineStr">
        <is>
          <t xml:space="preserve">        metin = Replace(metin, Chr$(i), "")</t>
        </is>
      </c>
      <c r="B78" s="67" t="n"/>
    </row>
    <row r="79">
      <c r="A79" s="80" t="inlineStr">
        <is>
          <t xml:space="preserve">    Next i</t>
        </is>
      </c>
      <c r="B79" s="67" t="n"/>
    </row>
    <row r="80">
      <c r="A80" s="80" t="inlineStr">
        <is>
          <t xml:space="preserve">    metin = Trim$(metin)</t>
        </is>
      </c>
      <c r="B80" s="67" t="n"/>
    </row>
    <row r="81">
      <c r="A81" s="80" t="inlineStr">
        <is>
          <t xml:space="preserve">    If Len(metin) = 0 Then metin = "Numarasiz"</t>
        </is>
      </c>
      <c r="B81" s="67" t="n"/>
    </row>
    <row r="82">
      <c r="A82" s="80" t="inlineStr">
        <is>
          <t xml:space="preserve">    If Len(metin) &gt; 120 Then metin = Left$(metin, 120)</t>
        </is>
      </c>
      <c r="B82" s="67" t="n"/>
    </row>
    <row r="83">
      <c r="A83" s="80" t="inlineStr">
        <is>
          <t xml:space="preserve">    DosyaAdiTemizle = metin</t>
        </is>
      </c>
      <c r="B83" s="67" t="n"/>
    </row>
    <row r="84">
      <c r="A84" s="80" t="inlineStr">
        <is>
          <t>End Function</t>
        </is>
      </c>
      <c r="B84" s="67" t="n"/>
    </row>
    <row r="85">
      <c r="A85" s="80" t="inlineStr"/>
      <c r="B85" s="67" t="n"/>
    </row>
    <row r="86">
      <c r="A86" s="80" t="inlineStr">
        <is>
          <t>Private Function MasaustuPDFKlasoru() As String</t>
        </is>
      </c>
      <c r="B86" s="67" t="n"/>
    </row>
    <row r="87">
      <c r="A87" s="80" t="inlineStr">
        <is>
          <t xml:space="preserve">    Dim masaustu As String</t>
        </is>
      </c>
      <c r="B87" s="67" t="n"/>
    </row>
    <row r="88">
      <c r="A88" s="80" t="inlineStr">
        <is>
          <t xml:space="preserve">    masaustu = CreateObject("WScript.Shell").SpecialFolders("Desktop")</t>
        </is>
      </c>
      <c r="B88" s="77" t="n"/>
    </row>
    <row r="89">
      <c r="A89" s="80" t="inlineStr">
        <is>
          <t xml:space="preserve">    If Len(masaustu) = 0 Then Err.Raise vbObjectError + 301, , "Masaüstü yolu alınamadı."</t>
        </is>
      </c>
      <c r="B89" s="67" t="n"/>
    </row>
    <row r="90">
      <c r="A90" s="80" t="inlineStr">
        <is>
          <t xml:space="preserve">    KlasorOlustur masaustu &amp; "\Teklifler"</t>
        </is>
      </c>
      <c r="B90" s="67" t="n"/>
    </row>
    <row r="91">
      <c r="A91" s="80" t="inlineStr">
        <is>
          <t xml:space="preserve">    KlasorOlustur masaustu &amp; "\Teklifler\PDF"</t>
        </is>
      </c>
      <c r="B91" s="67" t="n"/>
    </row>
    <row r="92">
      <c r="A92" s="80" t="inlineStr">
        <is>
          <t xml:space="preserve">    MasaustuPDFKlasoru = masaustu &amp; "\Teklifler\PDF"</t>
        </is>
      </c>
      <c r="B92" s="67" t="n"/>
    </row>
    <row r="93">
      <c r="A93" s="80" t="inlineStr">
        <is>
          <t>End Function</t>
        </is>
      </c>
      <c r="B93" s="67" t="n"/>
    </row>
    <row r="94">
      <c r="A94" s="81" t="inlineStr"/>
      <c r="B94" s="67" t="n"/>
    </row>
    <row r="95">
      <c r="A95" s="80" t="inlineStr">
        <is>
          <t>Private Sub SayfaDuzeniAyarla(ByVal ws As Worksheet)</t>
        </is>
      </c>
      <c r="B95" s="67" t="n"/>
    </row>
    <row r="96">
      <c r="A96" s="80" t="inlineStr">
        <is>
          <t xml:space="preserve">    On Error GoTo Temizle</t>
        </is>
      </c>
      <c r="B96" s="67" t="n"/>
    </row>
    <row r="97">
      <c r="A97" s="80" t="inlineStr">
        <is>
          <t xml:space="preserve">    Application.PrintCommunication = False</t>
        </is>
      </c>
      <c r="B97" s="67" t="n"/>
    </row>
    <row r="98">
      <c r="A98" s="80" t="inlineStr">
        <is>
          <t xml:space="preserve">    With ws.PageSetup</t>
        </is>
      </c>
      <c r="B98" s="67" t="n"/>
    </row>
    <row r="99">
      <c r="A99" s="80" t="inlineStr">
        <is>
          <t xml:space="preserve">        .PrintArea = "$A$1:$K$40"</t>
        </is>
      </c>
      <c r="B99" s="67" t="n"/>
    </row>
    <row r="100">
      <c r="A100" s="80" t="inlineStr">
        <is>
          <t xml:space="preserve">        .Orientation = xlPortrait</t>
        </is>
      </c>
      <c r="B100" s="67" t="n"/>
    </row>
    <row r="101">
      <c r="A101" s="80" t="inlineStr">
        <is>
          <t xml:space="preserve">        .PaperSize = xlPaperA4</t>
        </is>
      </c>
      <c r="B101" s="67" t="n"/>
    </row>
    <row r="102">
      <c r="A102" s="80" t="inlineStr">
        <is>
          <t xml:space="preserve">        .Zoom = False</t>
        </is>
      </c>
      <c r="B102" s="67" t="n"/>
    </row>
    <row r="103">
      <c r="A103" s="80" t="inlineStr">
        <is>
          <t xml:space="preserve">        .FitToPagesWide = 1</t>
        </is>
      </c>
      <c r="B103" s="67" t="n"/>
    </row>
    <row r="104">
      <c r="A104" s="80" t="inlineStr">
        <is>
          <t xml:space="preserve">        .FitToPagesTall = 1</t>
        </is>
      </c>
      <c r="B104" s="67" t="n"/>
    </row>
    <row r="105">
      <c r="A105" s="80" t="inlineStr">
        <is>
          <t xml:space="preserve">        .CenterHorizontally = True</t>
        </is>
      </c>
      <c r="B105" s="67" t="n"/>
    </row>
    <row r="106">
      <c r="A106" s="80" t="inlineStr">
        <is>
          <t xml:space="preserve">        .LeftMargin = Application.CentimetersToPoints(0.6)</t>
        </is>
      </c>
      <c r="B106" s="67" t="n"/>
    </row>
    <row r="107">
      <c r="A107" s="80" t="inlineStr">
        <is>
          <t xml:space="preserve">        .RightMargin = Application.CentimetersToPoints(0.6)</t>
        </is>
      </c>
      <c r="B107" s="67" t="n"/>
    </row>
    <row r="108">
      <c r="A108" s="80" t="inlineStr">
        <is>
          <t xml:space="preserve">        .TopMargin = Application.CentimetersToPoints(0.6)</t>
        </is>
      </c>
      <c r="B108" s="67" t="n"/>
    </row>
    <row r="109">
      <c r="A109" s="80" t="inlineStr">
        <is>
          <t xml:space="preserve">        .BottomMargin = Application.CentimetersToPoints(0.6)</t>
        </is>
      </c>
      <c r="B109" s="67" t="n"/>
    </row>
    <row r="110">
      <c r="A110" s="80" t="inlineStr">
        <is>
          <t xml:space="preserve">    End With</t>
        </is>
      </c>
      <c r="B110" s="67" t="n"/>
    </row>
    <row r="111">
      <c r="A111" s="80" t="inlineStr">
        <is>
          <t>Temizle:</t>
        </is>
      </c>
      <c r="B111" s="67" t="n"/>
    </row>
    <row r="112">
      <c r="A112" s="80" t="inlineStr">
        <is>
          <t xml:space="preserve">    On Error Resume Next</t>
        </is>
      </c>
      <c r="B112" s="67" t="n"/>
    </row>
    <row r="113">
      <c r="A113" s="80" t="inlineStr">
        <is>
          <t xml:space="preserve">    Application.PrintCommunication = True</t>
        </is>
      </c>
      <c r="B113" s="67" t="n"/>
    </row>
    <row r="114">
      <c r="A114" s="80" t="inlineStr">
        <is>
          <t>End Sub</t>
        </is>
      </c>
      <c r="B114" s="67" t="n"/>
    </row>
    <row r="115">
      <c r="A115" s="80" t="inlineStr"/>
      <c r="B115" s="67" t="n"/>
    </row>
    <row r="116">
      <c r="A116" s="80" t="inlineStr">
        <is>
          <t>' Tüm PDF işlemleri (Kaydet, Outlook, WhatsApp, test) aynı sayfa düzeniyle bu fonksiyonu kullanır.</t>
        </is>
      </c>
      <c r="B116" s="67" t="n"/>
    </row>
    <row r="117">
      <c r="A117" s="80" t="inlineStr">
        <is>
          <t>Public Function TeklifPDFOlustur(ByVal klasor As String, Optional ByVal onEk As String = "Teklif") As String</t>
        </is>
      </c>
      <c r="B117" s="67" t="n"/>
    </row>
    <row r="118">
      <c r="A118" s="80" t="inlineStr">
        <is>
          <t xml:space="preserve">    Dim ws As Worksheet, yol As String</t>
        </is>
      </c>
      <c r="B118" s="67" t="n"/>
    </row>
    <row r="119">
      <c r="A119" s="80" t="inlineStr">
        <is>
          <t xml:space="preserve">    Set ws = TeklifSayfasi</t>
        </is>
      </c>
      <c r="B119" s="67" t="n"/>
    </row>
    <row r="120">
      <c r="A120" s="80" t="inlineStr">
        <is>
          <t xml:space="preserve">    KlasorOlustur klasor</t>
        </is>
      </c>
      <c r="B120" s="67" t="n"/>
    </row>
    <row r="121">
      <c r="A121" s="80" t="inlineStr">
        <is>
          <t xml:space="preserve">    yol = klasor &amp; "\" &amp; onEk &amp; "_" &amp; DosyaAdiTemizle(AktifTeklifNo()) &amp; "_" &amp; Format$(Now, "yyyymmdd_hhnnss") &amp; ".pdf"</t>
        </is>
      </c>
      <c r="B121" s="67" t="n"/>
    </row>
    <row r="122">
      <c r="A122" s="80" t="inlineStr">
        <is>
          <t xml:space="preserve">    SayfaDuzeniAyarla ws</t>
        </is>
      </c>
      <c r="B122" s="67" t="n"/>
    </row>
    <row r="123">
      <c r="A123" s="80" t="inlineStr">
        <is>
          <t xml:space="preserve">    ws.ExportAsFixedFormat Type:=xlTypePDF, Filename:=yol, Quality:=xlQualityStandard, _</t>
        </is>
      </c>
      <c r="B123" s="67" t="n"/>
    </row>
    <row r="124">
      <c r="A124" s="80" t="inlineStr">
        <is>
          <t xml:space="preserve">        IncludeDocProperties:=True, IgnorePrintAreas:=False, OpenAfterPublish:=False</t>
        </is>
      </c>
      <c r="B124" s="67" t="n"/>
    </row>
    <row r="125">
      <c r="A125" s="80" t="inlineStr">
        <is>
          <t xml:space="preserve">    If Len(Dir$(yol)) = 0 Then Err.Raise vbObjectError + 302, , "PDF oluşturulamadı: " &amp; yol</t>
        </is>
      </c>
      <c r="B125" s="67" t="n"/>
    </row>
    <row r="126">
      <c r="A126" s="80" t="inlineStr">
        <is>
          <t xml:space="preserve">    TeklifPDFOlustur = yol</t>
        </is>
      </c>
      <c r="B126" s="67" t="n"/>
    </row>
    <row r="127">
      <c r="A127" s="80" t="inlineStr">
        <is>
          <t>End Function</t>
        </is>
      </c>
      <c r="B127" s="67" t="n"/>
    </row>
    <row r="128">
      <c r="A128" s="80" t="inlineStr"/>
      <c r="B128" s="67" t="n"/>
    </row>
    <row r="129">
      <c r="A129" s="80" t="inlineStr">
        <is>
          <t>Private Function MusteriBilgisi(ByVal firma As String, ByVal sutun As String) As String</t>
        </is>
      </c>
      <c r="B129" s="67" t="n"/>
    </row>
    <row r="130">
      <c r="A130" s="80" t="inlineStr">
        <is>
          <t xml:space="preserve">    Dim t As ListObject, r As Variant</t>
        </is>
      </c>
      <c r="B130" s="67" t="n"/>
    </row>
    <row r="131">
      <c r="A131" s="80" t="inlineStr">
        <is>
          <t xml:space="preserve">    On Error GoTo Son</t>
        </is>
      </c>
      <c r="B131" s="67" t="n"/>
    </row>
    <row r="132">
      <c r="A132" s="80" t="inlineStr">
        <is>
          <t xml:space="preserve">    If Len(Trim$(firma)) = 0 Then Exit Function</t>
        </is>
      </c>
      <c r="B132" s="67" t="n"/>
    </row>
    <row r="133">
      <c r="A133" s="80" t="inlineStr">
        <is>
          <t xml:space="preserve">    Set t = ThisWorkbook.Worksheets("Müşteriler").ListObjects("tblMusteriler")</t>
        </is>
      </c>
      <c r="B133" s="67" t="n"/>
    </row>
    <row r="134">
      <c r="A134" s="80" t="inlineStr">
        <is>
          <t xml:space="preserve">    If t.DataBodyRange Is Nothing Then Exit Function</t>
        </is>
      </c>
      <c r="B134" s="67" t="n"/>
    </row>
    <row r="135">
      <c r="A135" s="80" t="inlineStr">
        <is>
          <t xml:space="preserve">    r = Application.Match(firma, t.ListColumns("Firma").DataBodyRange, 0)</t>
        </is>
      </c>
      <c r="B135" s="67" t="n"/>
    </row>
    <row r="136">
      <c r="A136" s="80" t="inlineStr">
        <is>
          <t xml:space="preserve">    If Not IsError(r) Then MusteriBilgisi = Trim$(CStr(t.ListColumns(sutun).DataBodyRange.Cells(CLng(r), 1).Value))</t>
        </is>
      </c>
      <c r="B136" s="67" t="n"/>
    </row>
    <row r="137">
      <c r="A137" s="80" t="inlineStr">
        <is>
          <t>Son:</t>
        </is>
      </c>
      <c r="B137" s="67" t="n"/>
    </row>
    <row r="138">
      <c r="A138" s="80" t="inlineStr">
        <is>
          <t>End Function</t>
        </is>
      </c>
      <c r="B138" s="67" t="n"/>
    </row>
    <row r="139">
      <c r="A139" s="80" t="inlineStr"/>
      <c r="B139" s="67" t="n"/>
    </row>
    <row r="140">
      <c r="A140" s="80" t="inlineStr">
        <is>
          <t>Private Function UrlEncode(ByVal metin As String) As String</t>
        </is>
      </c>
      <c r="B140" s="67" t="n"/>
    </row>
    <row r="141">
      <c r="A141" s="80" t="inlineStr">
        <is>
          <t xml:space="preserve">    On Error GoTo Elle</t>
        </is>
      </c>
      <c r="B141" s="67" t="n"/>
    </row>
    <row r="142">
      <c r="A142" s="80" t="inlineStr">
        <is>
          <t xml:space="preserve">    UrlEncode = Application.WorksheetFunction.EncodeURL(metin)</t>
        </is>
      </c>
      <c r="B142" s="67" t="n"/>
    </row>
    <row r="143">
      <c r="A143" s="80" t="inlineStr">
        <is>
          <t xml:space="preserve">    Exit Function</t>
        </is>
      </c>
      <c r="B143" s="67" t="n"/>
    </row>
    <row r="144">
      <c r="A144" s="80" t="inlineStr">
        <is>
          <t>Elle:</t>
        </is>
      </c>
      <c r="B144" s="67" t="n"/>
    </row>
    <row r="145">
      <c r="A145" s="80" t="inlineStr">
        <is>
          <t xml:space="preserve">    Dim i As Long, ch As String, out As String</t>
        </is>
      </c>
      <c r="B145" s="67" t="n"/>
    </row>
    <row r="146">
      <c r="A146" s="80" t="inlineStr">
        <is>
          <t xml:space="preserve">    For i = 1 To Len(metin)</t>
        </is>
      </c>
      <c r="B146" s="67" t="n"/>
    </row>
    <row r="147">
      <c r="A147" s="80" t="inlineStr">
        <is>
          <t xml:space="preserve">        ch = Mid$(metin, i, 1)</t>
        </is>
      </c>
      <c r="B147" s="67" t="n"/>
    </row>
    <row r="148">
      <c r="A148" s="80" t="inlineStr">
        <is>
          <t xml:space="preserve">        Select Case AscW(ch)</t>
        </is>
      </c>
      <c r="B148" s="67" t="n"/>
    </row>
    <row r="149">
      <c r="A149" s="80" t="inlineStr">
        <is>
          <t xml:space="preserve">            Case 48 To 57, 65 To 90, 97 To 122, 45, 46, 95, 126</t>
        </is>
      </c>
      <c r="B149" s="67" t="n"/>
    </row>
    <row r="150">
      <c r="A150" s="80" t="inlineStr">
        <is>
          <t xml:space="preserve">                out = out &amp; ch</t>
        </is>
      </c>
      <c r="B150" s="67" t="n"/>
    </row>
    <row r="151">
      <c r="A151" s="80" t="inlineStr">
        <is>
          <t xml:space="preserve">            Case 32</t>
        </is>
      </c>
      <c r="B151" s="67" t="n"/>
    </row>
    <row r="152">
      <c r="A152" s="80" t="inlineStr">
        <is>
          <t xml:space="preserve">                out = out &amp; "%20"</t>
        </is>
      </c>
      <c r="B152" s="67" t="n"/>
    </row>
    <row r="153">
      <c r="A153" s="80" t="inlineStr">
        <is>
          <t xml:space="preserve">            Case Else</t>
        </is>
      </c>
      <c r="B153" s="67" t="n"/>
    </row>
    <row r="154">
      <c r="A154" s="80" t="inlineStr">
        <is>
          <t xml:space="preserve">                out = out &amp; "%" &amp; Right$("0" &amp; Hex$(AscW(ch) And &amp;HFF&amp;), 2)</t>
        </is>
      </c>
      <c r="B154" s="67" t="n"/>
    </row>
    <row r="155">
      <c r="A155" s="80" t="inlineStr">
        <is>
          <t xml:space="preserve">        End Select</t>
        </is>
      </c>
      <c r="B155" s="67" t="n"/>
    </row>
    <row r="156">
      <c r="A156" s="80" t="inlineStr">
        <is>
          <t xml:space="preserve">    Next i</t>
        </is>
      </c>
      <c r="B156" s="67" t="n"/>
    </row>
    <row r="157">
      <c r="A157" s="80" t="inlineStr">
        <is>
          <t xml:space="preserve">    UrlEncode = out</t>
        </is>
      </c>
      <c r="B157" s="67" t="n"/>
    </row>
    <row r="158">
      <c r="A158" s="80" t="inlineStr">
        <is>
          <t>End Function</t>
        </is>
      </c>
      <c r="B158" s="67" t="n"/>
    </row>
    <row r="159">
      <c r="A159" s="80" t="inlineStr"/>
      <c r="B159" s="67" t="n"/>
    </row>
    <row r="160">
      <c r="A160" s="80" t="inlineStr">
        <is>
          <t>' Tabloda yalnızca boş başlangıç satırı varsa onu kullanır; aksi halde yeni satır ekler.</t>
        </is>
      </c>
      <c r="B160" s="67" t="n"/>
    </row>
    <row r="161">
      <c r="A161" s="80" t="inlineStr">
        <is>
          <t>Private Function TabloSatiriAl(ByVal t As ListObject) As Range</t>
        </is>
      </c>
      <c r="B161" s="67" t="n"/>
    </row>
    <row r="162">
      <c r="A162" s="80" t="inlineStr">
        <is>
          <t xml:space="preserve">    If t.ListRows.Count = 1 Then</t>
        </is>
      </c>
      <c r="B162" s="67" t="n"/>
    </row>
    <row r="163">
      <c r="A163" s="80" t="inlineStr">
        <is>
          <t xml:space="preserve">        If Not t.DataBodyRange Is Nothing Then</t>
        </is>
      </c>
      <c r="B163" s="67" t="n"/>
    </row>
    <row r="164">
      <c r="A164" s="80" t="inlineStr">
        <is>
          <t xml:space="preserve">            If Application.WorksheetFunction.CountA(t.DataBodyRange) = 0 Then</t>
        </is>
      </c>
      <c r="B164" s="67" t="n"/>
    </row>
    <row r="165">
      <c r="A165" s="80" t="inlineStr">
        <is>
          <t xml:space="preserve">                Set TabloSatiriAl = t.DataBodyRange.Rows(1)</t>
        </is>
      </c>
      <c r="B165" s="67" t="n"/>
    </row>
    <row r="166">
      <c r="A166" s="80" t="inlineStr">
        <is>
          <t xml:space="preserve">                Exit Function</t>
        </is>
      </c>
      <c r="B166" s="67" t="n"/>
    </row>
    <row r="167">
      <c r="A167" s="80" t="inlineStr">
        <is>
          <t xml:space="preserve">            End If</t>
        </is>
      </c>
      <c r="B167" s="67" t="n"/>
    </row>
    <row r="168">
      <c r="A168" s="80" t="inlineStr">
        <is>
          <t xml:space="preserve">        End If</t>
        </is>
      </c>
      <c r="B168" s="67" t="n"/>
    </row>
    <row r="169">
      <c r="A169" s="80" t="inlineStr">
        <is>
          <t xml:space="preserve">    End If</t>
        </is>
      </c>
      <c r="B169" s="67" t="n"/>
    </row>
    <row r="170">
      <c r="A170" s="80" t="inlineStr">
        <is>
          <t xml:space="preserve">    Set TabloSatiriAl = t.ListRows.Add.Range</t>
        </is>
      </c>
      <c r="B170" s="67" t="n"/>
    </row>
    <row r="171">
      <c r="A171" s="80" t="inlineStr">
        <is>
          <t>End Function</t>
        </is>
      </c>
      <c r="B171" s="67" t="n"/>
    </row>
    <row r="172">
      <c r="A172" s="80" t="inlineStr"/>
      <c r="B172" s="67" t="n"/>
    </row>
    <row r="173">
      <c r="A173" s="80" t="inlineStr">
        <is>
          <t>Rem ===== GÖNDERİM ÖNCESİ KONTROL =====</t>
        </is>
      </c>
      <c r="B173" s="67" t="n"/>
    </row>
    <row r="174">
      <c r="A174" s="80" t="inlineStr"/>
      <c r="B174" s="67" t="n"/>
    </row>
    <row r="175">
      <c r="A175" s="80" t="inlineStr">
        <is>
          <t>Public Function GonderimUyarilari() As String</t>
        </is>
      </c>
      <c r="B175" s="67" t="n"/>
    </row>
    <row r="176">
      <c r="A176" s="80" t="inlineStr">
        <is>
          <t xml:space="preserve">    Dim ws As Worksheet, a As Worksheet, s As String, r As Long</t>
        </is>
      </c>
      <c r="B176" s="67" t="n"/>
    </row>
    <row r="177">
      <c r="A177" s="80" t="inlineStr">
        <is>
          <t xml:space="preserve">    Dim sonKur As Double, esik As Double, dovizVar As Boolean</t>
        </is>
      </c>
      <c r="B177" s="67" t="n"/>
    </row>
    <row r="178">
      <c r="A178" s="80" t="inlineStr">
        <is>
          <t xml:space="preserve">    Set ws = TeklifSayfasi</t>
        </is>
      </c>
      <c r="B178" s="67" t="n"/>
    </row>
    <row r="179">
      <c r="A179" s="80" t="inlineStr">
        <is>
          <t xml:space="preserve">    Set a = AyarlarSayfasi</t>
        </is>
      </c>
      <c r="B179" s="67" t="n"/>
    </row>
    <row r="180">
      <c r="A180" s="80" t="inlineStr">
        <is>
          <t xml:space="preserve">    If Len(Trim$(CStr(ws.Range("D3").Value))) = 0 Then s = s &amp; "• Müşteri seçilmemiş." &amp; vbCrLf</t>
        </is>
      </c>
      <c r="B180" s="67" t="n"/>
    </row>
    <row r="181">
      <c r="A181" s="80" t="inlineStr">
        <is>
          <t xml:space="preserve">    If Application.WorksheetFunction.CountA(ws.Range("A8:A30")) = 0 Then s = s &amp; "• Teklifte ürün kalemi yok." &amp; vbCrLf</t>
        </is>
      </c>
      <c r="B181" s="67" t="n"/>
    </row>
    <row r="182">
      <c r="A182" s="80" t="inlineStr">
        <is>
          <t xml:space="preserve">    For r = 8 To 30</t>
        </is>
      </c>
      <c r="B182" s="67" t="n"/>
    </row>
    <row r="183">
      <c r="A183" s="80" t="inlineStr">
        <is>
          <t xml:space="preserve">        If Len(Trim$(CStr(ws.Cells(r, 1).Value))) &gt; 0 Then</t>
        </is>
      </c>
      <c r="B183" s="67" t="n"/>
    </row>
    <row r="184">
      <c r="A184" s="80" t="inlineStr">
        <is>
          <t xml:space="preserve">            If Sayi(ws.Cells(r, 4).Value) &lt;= 0 Or Sayi(ws.Cells(r, 5).Value) &lt;= 0 Then s = s &amp; "• " &amp; r &amp; ". satırda miktar veya birim fiyat eksik." &amp; vbCrLf</t>
        </is>
      </c>
      <c r="B184" s="67" t="n"/>
    </row>
    <row r="185">
      <c r="A185" s="80" t="inlineStr">
        <is>
          <t xml:space="preserve">            If UCase$(CStr(ws.Cells(r, 9).Value)) &lt;&gt; "TRY" Then dovizVar = True</t>
        </is>
      </c>
      <c r="B185" s="67" t="n"/>
    </row>
    <row r="186">
      <c r="A186" s="80" t="inlineStr">
        <is>
          <t xml:space="preserve">        End If</t>
        </is>
      </c>
      <c r="B186" s="67" t="n"/>
    </row>
    <row r="187">
      <c r="A187" s="80" t="inlineStr">
        <is>
          <t xml:space="preserve">    Next r</t>
        </is>
      </c>
      <c r="B187" s="67" t="n"/>
    </row>
    <row r="188">
      <c r="A188" s="80" t="inlineStr">
        <is>
          <t xml:space="preserve">    If IsDate(ws.Range("J5").Value) Then</t>
        </is>
      </c>
      <c r="B188" s="67" t="n"/>
    </row>
    <row r="189">
      <c r="A189" s="80" t="inlineStr">
        <is>
          <t xml:space="preserve">        If CDate(ws.Range("J5").Value) &lt; Date Then s = s &amp; "• Teklifin geçerlilik tarihi geçmiş." &amp; vbCrLf</t>
        </is>
      </c>
      <c r="B189" s="67" t="n"/>
    </row>
    <row r="190">
      <c r="A190" s="80" t="inlineStr">
        <is>
          <t xml:space="preserve">    End If</t>
        </is>
      </c>
      <c r="B190" s="67" t="n"/>
    </row>
    <row r="191">
      <c r="A191" s="80" t="inlineStr">
        <is>
          <t xml:space="preserve">    If dovizVar Then</t>
        </is>
      </c>
      <c r="B191" s="67" t="n"/>
    </row>
    <row r="192">
      <c r="A192" s="80" t="inlineStr">
        <is>
          <t xml:space="preserve">        On Error Resume Next</t>
        </is>
      </c>
      <c r="B192" s="67" t="n"/>
    </row>
    <row r="193">
      <c r="A193" s="80" t="inlineStr">
        <is>
          <t xml:space="preserve">        sonKur = Application.WorksheetFunction.Max(ThisWorkbook.Worksheets("Kur Bilgisi").Range("D7:D9"))</t>
        </is>
      </c>
      <c r="B193" s="67" t="n"/>
    </row>
    <row r="194">
      <c r="A194" s="80" t="inlineStr">
        <is>
          <t xml:space="preserve">        On Error GoTo 0</t>
        </is>
      </c>
      <c r="B194" s="67" t="n"/>
    </row>
    <row r="195">
      <c r="A195" s="80" t="inlineStr">
        <is>
          <t xml:space="preserve">        esik = Sayi(a.Range("B14").Value)</t>
        </is>
      </c>
      <c r="B195" s="67" t="n"/>
    </row>
    <row r="196">
      <c r="A196" s="80" t="inlineStr">
        <is>
          <t xml:space="preserve">        If esik &lt;= 0 Then esik = 12</t>
        </is>
      </c>
      <c r="B196" s="67" t="n"/>
    </row>
    <row r="197">
      <c r="A197" s="80" t="inlineStr">
        <is>
          <t xml:space="preserve">        If sonKur = 0 Or (Now - sonKur) * 24 &gt; esik Then s = s &amp; "• Döviz kurları güncel değil (son güncelleme: " &amp; IIf(sonKur = 0, "yok", Format$(sonKur, "dd.mm.yyyy hh:nn")) &amp; ")." &amp; vbCrLf</t>
        </is>
      </c>
      <c r="B197" s="67" t="n"/>
    </row>
    <row r="198">
      <c r="A198" s="80" t="inlineStr">
        <is>
          <t xml:space="preserve">    End If</t>
        </is>
      </c>
      <c r="B198" s="67" t="n"/>
    </row>
    <row r="199">
      <c r="A199" s="80" t="inlineStr">
        <is>
          <t xml:space="preserve">    If Sayi(a.Range("B12").Value) &gt; 0 And Sayi(ws.Range("K33").Value) &gt;= Sayi(a.Range("B12").Value) Then s = s &amp; "• Tutar yönetici onay eşiğinin üzerinde." &amp; vbCrLf</t>
        </is>
      </c>
      <c r="B199" s="67" t="n"/>
    </row>
    <row r="200">
      <c r="A200" s="80" t="inlineStr">
        <is>
          <t xml:space="preserve">    If Sayi(a.Range("B9").Value) &gt; Sayi(a.Range("B13").Value) Then s = s &amp; "• İskonto oranı onay eşiğinin üzerinde." &amp; vbCrLf</t>
        </is>
      </c>
      <c r="B200" s="67" t="n"/>
    </row>
    <row r="201">
      <c r="A201" s="80" t="inlineStr">
        <is>
          <t xml:space="preserve">    GonderimUyarilari = s</t>
        </is>
      </c>
      <c r="B201" s="67" t="n"/>
    </row>
    <row r="202">
      <c r="A202" s="80" t="inlineStr">
        <is>
          <t>End Function</t>
        </is>
      </c>
      <c r="B202" s="67" t="n"/>
    </row>
    <row r="203">
      <c r="A203" s="80" t="inlineStr"/>
      <c r="B203" s="67" t="n"/>
    </row>
    <row r="204">
      <c r="A204" s="80" t="inlineStr">
        <is>
          <t>Private Function GonderimOnayi(ByVal islem As String) As Boolean</t>
        </is>
      </c>
      <c r="B204" s="67" t="n"/>
    </row>
    <row r="205">
      <c r="A205" s="80" t="inlineStr">
        <is>
          <t xml:space="preserve">    Dim s As String</t>
        </is>
      </c>
      <c r="B205" s="67" t="n"/>
    </row>
    <row r="206">
      <c r="A206" s="80" t="inlineStr">
        <is>
          <t xml:space="preserve">    s = GonderimUyarilari()</t>
        </is>
      </c>
      <c r="B206" s="67" t="n"/>
    </row>
    <row r="207">
      <c r="A207" s="80" t="inlineStr">
        <is>
          <t xml:space="preserve">    If Len(s) = 0 Then</t>
        </is>
      </c>
      <c r="B207" s="67" t="n"/>
    </row>
    <row r="208">
      <c r="A208" s="80" t="inlineStr">
        <is>
          <t xml:space="preserve">        GonderimOnayi = True</t>
        </is>
      </c>
      <c r="B208" s="67" t="n"/>
    </row>
    <row r="209">
      <c r="A209" s="80" t="inlineStr">
        <is>
          <t xml:space="preserve">    Else</t>
        </is>
      </c>
      <c r="B209" s="67" t="n"/>
    </row>
    <row r="210">
      <c r="A210" s="80" t="inlineStr">
        <is>
          <t xml:space="preserve">        GonderimOnayi = (MsgBox(islem &amp; " öncesi kontrol uyarıları:" &amp; vbCrLf &amp; vbCrLf &amp; s &amp; vbCrLf &amp; "Yine de devam edilsin mi?", _</t>
        </is>
      </c>
      <c r="B210" s="67" t="n"/>
    </row>
    <row r="211">
      <c r="A211" s="80" t="inlineStr">
        <is>
          <t xml:space="preserve">            vbYesNo + vbExclamation + vbDefaultButton2, "Gönderim Kontrolü " &amp; SURUM) = vbYes)</t>
        </is>
      </c>
      <c r="B211" s="67" t="n"/>
    </row>
    <row r="212">
      <c r="A212" s="80" t="inlineStr">
        <is>
          <t xml:space="preserve">    End If</t>
        </is>
      </c>
      <c r="B212" s="67" t="n"/>
    </row>
    <row r="213">
      <c r="A213" s="80" t="inlineStr">
        <is>
          <t>End Function</t>
        </is>
      </c>
      <c r="B213" s="67" t="n"/>
    </row>
    <row r="214">
      <c r="A214" s="80" t="inlineStr"/>
      <c r="B214" s="67" t="n"/>
    </row>
    <row r="215">
      <c r="A215" s="80" t="inlineStr">
        <is>
          <t>Rem ===== DÖVİZ KURLARI =====</t>
        </is>
      </c>
      <c r="B215" s="67" t="n"/>
    </row>
    <row r="216">
      <c r="A216" s="80" t="inlineStr"/>
      <c r="B216" s="67" t="n"/>
    </row>
    <row r="217">
      <c r="A217" s="80" t="inlineStr">
        <is>
          <t>Private Function KurCekirdek(ByVal Sessiz As Boolean) As Boolean</t>
        </is>
      </c>
      <c r="B217" s="67" t="n"/>
    </row>
    <row r="218">
      <c r="A218" s="80" t="inlineStr">
        <is>
          <t xml:space="preserve">    On Error GoTo Hata</t>
        </is>
      </c>
      <c r="B218" s="67" t="n"/>
    </row>
    <row r="219">
      <c r="A219" s="80" t="inlineStr">
        <is>
          <t xml:space="preserve">    Dim req As Object, ws As Worksheet, html As String</t>
        </is>
      </c>
      <c r="B219" s="67" t="n"/>
    </row>
    <row r="220">
      <c r="A220" s="80" t="inlineStr">
        <is>
          <t xml:space="preserve">    Dim kodlar As Variant, kurlar(0 To 2) As Double, satir As Variant, i As Long</t>
        </is>
      </c>
      <c r="B220" s="67" t="n"/>
    </row>
    <row r="221">
      <c r="A221" s="80" t="inlineStr"/>
      <c r="B221" s="67" t="n"/>
    </row>
    <row r="222">
      <c r="A222" s="80" t="inlineStr">
        <is>
          <t xml:space="preserve">    DurumCubugu "İş Bankası döviz satış kurları alınıyor..."</t>
        </is>
      </c>
      <c r="B222" s="67" t="n"/>
    </row>
    <row r="223">
      <c r="A223" s="80" t="inlineStr">
        <is>
          <t xml:space="preserve">    Set ws = ThisWorkbook.Worksheets("Kur Bilgisi")</t>
        </is>
      </c>
      <c r="B223" s="67" t="n"/>
    </row>
    <row r="224">
      <c r="A224" s="80" t="inlineStr">
        <is>
          <t xml:space="preserve">    Set req = CreateObject("MSXML2.ServerXMLHTTP.6.0")</t>
        </is>
      </c>
      <c r="B224" s="67" t="n"/>
    </row>
    <row r="225">
      <c r="A225" s="80" t="inlineStr">
        <is>
          <t xml:space="preserve">    req.setTimeouts 5000, 5000, 10000, 15000</t>
        </is>
      </c>
      <c r="B225" s="67" t="n"/>
    </row>
    <row r="226">
      <c r="A226" s="80" t="inlineStr">
        <is>
          <t xml:space="preserve">    req.Open "GET", KUR_URL, False</t>
        </is>
      </c>
      <c r="B226" s="67" t="n"/>
    </row>
    <row r="227">
      <c r="A227" s="80" t="inlineStr">
        <is>
          <t xml:space="preserve">    req.setRequestHeader "User-Agent", "Mozilla/5.0 (Windows NT 10.0; Win64; x64)"</t>
        </is>
      </c>
      <c r="B227" s="67" t="n"/>
    </row>
    <row r="228">
      <c r="A228" s="80" t="inlineStr">
        <is>
          <t xml:space="preserve">    req.setRequestHeader "Accept", "text/html"</t>
        </is>
      </c>
      <c r="B228" s="67" t="n"/>
    </row>
    <row r="229">
      <c r="A229" s="80" t="inlineStr">
        <is>
          <t xml:space="preserve">    req.send</t>
        </is>
      </c>
      <c r="B229" s="67" t="n"/>
    </row>
    <row r="230">
      <c r="A230" s="80" t="inlineStr">
        <is>
          <t xml:space="preserve">    If req.Status &lt;&gt; 200 Then Err.Raise vbObjectError + 100, , "HTTP hatası: " &amp; req.Status</t>
        </is>
      </c>
      <c r="B230" s="67" t="n"/>
    </row>
    <row r="231">
      <c r="A231" s="80" t="inlineStr">
        <is>
          <t xml:space="preserve">    html = CStr(req.responseText)</t>
        </is>
      </c>
      <c r="B231" s="67" t="n"/>
    </row>
    <row r="232">
      <c r="A232" s="80" t="inlineStr"/>
      <c r="B232" s="67" t="n"/>
    </row>
    <row r="233">
      <c r="A233" s="80" t="inlineStr">
        <is>
          <t xml:space="preserve">    kodlar = Array("USD", "EUR", "GBP")</t>
        </is>
      </c>
      <c r="B233" s="67" t="n"/>
    </row>
    <row r="234">
      <c r="A234" s="80" t="inlineStr">
        <is>
          <t xml:space="preserve">    For i = LBound(kodlar) To UBound(kodlar)</t>
        </is>
      </c>
      <c r="B234" s="67" t="n"/>
    </row>
    <row r="235">
      <c r="A235" s="80" t="inlineStr">
        <is>
          <t xml:space="preserve">        kurlar(i) = SatisKuruBulV6(html, CStr(kodlar(i)))</t>
        </is>
      </c>
      <c r="B235" s="77" t="n"/>
    </row>
    <row r="236">
      <c r="A236" s="80" t="inlineStr">
        <is>
          <t xml:space="preserve">        If kurlar(i) &lt; 1 Or kurlar(i) &gt; 1000 Then Err.Raise vbObjectError + 101, , kodlar(i) &amp; " satış kuru sayfada bulunamadı (sayfa yapısı değişmiş olabilir)."</t>
        </is>
      </c>
      <c r="B236" s="67" t="n"/>
    </row>
    <row r="237">
      <c r="A237" s="80" t="inlineStr">
        <is>
          <t xml:space="preserve">    Next i</t>
        </is>
      </c>
      <c r="B237" s="67" t="n"/>
    </row>
    <row r="238">
      <c r="A238" s="80" t="inlineStr"/>
      <c r="B238" s="67" t="n"/>
    </row>
    <row r="239">
      <c r="A239" s="81" t="inlineStr">
        <is>
          <t xml:space="preserve">    For i = LBound(kodlar) To UBound(kodlar)</t>
        </is>
      </c>
      <c r="B239" s="67" t="n"/>
    </row>
    <row r="240">
      <c r="A240" s="80" t="inlineStr">
        <is>
          <t xml:space="preserve">        satir = Application.Match(kodlar(i), ws.Range("A:A"), 0)</t>
        </is>
      </c>
      <c r="B240" s="67" t="n"/>
    </row>
    <row r="241">
      <c r="A241" s="80" t="inlineStr">
        <is>
          <t xml:space="preserve">        If IsError(satir) Then Err.Raise vbObjectError + 102, , kodlar(i) &amp; " satırı Kur Bilgisi sayfasında yok."</t>
        </is>
      </c>
      <c r="B241" s="67" t="n"/>
    </row>
    <row r="242">
      <c r="A242" s="80" t="inlineStr">
        <is>
          <t xml:space="preserve">        ws.Cells(CLng(satir), 3).Value = kurlar(i)</t>
        </is>
      </c>
      <c r="B242" s="67" t="n"/>
    </row>
    <row r="243">
      <c r="A243" s="80" t="inlineStr">
        <is>
          <t xml:space="preserve">        ws.Cells(CLng(satir), 4).Value = Now</t>
        </is>
      </c>
      <c r="B243" s="67" t="n"/>
    </row>
    <row r="244">
      <c r="A244" s="80" t="inlineStr">
        <is>
          <t xml:space="preserve">        ws.Cells(CLng(satir), 5).Value = "İş Bankası"</t>
        </is>
      </c>
      <c r="B244" s="67" t="n"/>
    </row>
    <row r="245">
      <c r="A245" s="80" t="inlineStr">
        <is>
          <t xml:space="preserve">        ws.Cells(CLng(satir), 6).Value = "Otomatik yenilendi " &amp; SURUM</t>
        </is>
      </c>
      <c r="B245" s="67" t="n"/>
    </row>
    <row r="246">
      <c r="A246" s="80" t="inlineStr">
        <is>
          <t xml:space="preserve">    Next i</t>
        </is>
      </c>
      <c r="B246" s="67" t="n"/>
    </row>
    <row r="247">
      <c r="A247" s="80" t="inlineStr">
        <is>
          <t xml:space="preserve">    ws.Range("D6:D9").NumberFormat = "dd.mm.yyyy hh:mm"</t>
        </is>
      </c>
      <c r="B247" s="67" t="n"/>
    </row>
    <row r="248">
      <c r="A248" s="80" t="inlineStr">
        <is>
          <t xml:space="preserve">    Hesapla</t>
        </is>
      </c>
      <c r="B248" s="67" t="n"/>
    </row>
    <row r="249">
      <c r="A249" s="80" t="inlineStr">
        <is>
          <t xml:space="preserve">    DurumCubugu False</t>
        </is>
      </c>
      <c r="B249" s="67" t="n"/>
    </row>
    <row r="250">
      <c r="A250" s="80" t="inlineStr">
        <is>
          <t xml:space="preserve">    KurCekirdek = True</t>
        </is>
      </c>
      <c r="B250" s="67" t="n"/>
    </row>
    <row r="251">
      <c r="A251" s="80" t="inlineStr">
        <is>
          <t xml:space="preserve">    If Not Sessiz Then MsgBox "USD, EUR ve GBP satış kurları güncellendi." &amp; vbCrLf &amp; _</t>
        </is>
      </c>
      <c r="B251" s="67" t="n"/>
    </row>
    <row r="252">
      <c r="A252" s="80" t="inlineStr">
        <is>
          <t xml:space="preserve">        "USD: " &amp; Format$(kurlar(0), "0.0000") &amp; "  EUR: " &amp; Format$(kurlar(1), "0.0000") &amp; "  GBP: " &amp; Format$(kurlar(2), "0.0000"), vbInformation, "Kur " &amp; SURUM</t>
        </is>
      </c>
      <c r="B252" s="67" t="n"/>
    </row>
    <row r="253">
      <c r="A253" s="80" t="inlineStr">
        <is>
          <t xml:space="preserve">    Exit Function</t>
        </is>
      </c>
      <c r="B253" s="67" t="n"/>
    </row>
    <row r="254">
      <c r="A254" s="80" t="inlineStr">
        <is>
          <t>Hata:</t>
        </is>
      </c>
      <c r="B254" s="67" t="n"/>
    </row>
    <row r="255">
      <c r="A255" s="80" t="inlineStr">
        <is>
          <t xml:space="preserve">    Dim hataMetni As String</t>
        </is>
      </c>
      <c r="B255" s="67" t="n"/>
    </row>
    <row r="256">
      <c r="A256" s="80" t="inlineStr">
        <is>
          <t xml:space="preserve">    hataMetni = Err.Description</t>
        </is>
      </c>
      <c r="B256" s="67" t="n"/>
    </row>
    <row r="257">
      <c r="A257" s="80" t="inlineStr">
        <is>
          <t xml:space="preserve">    DurumCubugu False</t>
        </is>
      </c>
      <c r="B257" s="67" t="n"/>
    </row>
    <row r="258">
      <c r="A258" s="80" t="inlineStr">
        <is>
          <t xml:space="preserve">    On Error Resume Next</t>
        </is>
      </c>
      <c r="B258" s="67" t="n"/>
    </row>
    <row r="259">
      <c r="A259" s="80" t="inlineStr">
        <is>
          <t xml:space="preserve">    ' Eski kurlar korunur; tarih sütunu değişmediği için Teklif Yönetimi panosu "YENİLE" gösterir.</t>
        </is>
      </c>
      <c r="B259" s="67" t="n"/>
    </row>
    <row r="260">
      <c r="A260" s="80" t="inlineStr">
        <is>
          <t xml:space="preserve">    ThisWorkbook.Worksheets("Kur Bilgisi").Range("F7:F9").Value = "Güncellenemedi " &amp; Format$(Now, "dd.mm.yyyy hh:nn") &amp; ": " &amp; hataMetni</t>
        </is>
      </c>
      <c r="B260" s="67" t="n"/>
    </row>
    <row r="261">
      <c r="A261" s="80" t="inlineStr">
        <is>
          <t xml:space="preserve">    If Not Sessiz Then MsgBox "Kur güncellenemedi; mevcut kurlar korundu." &amp; vbCrLf &amp; "Hata: " &amp; hataMetni, vbExclamation, "Kur " &amp; SURUM</t>
        </is>
      </c>
      <c r="B261" s="67" t="n"/>
    </row>
    <row r="262">
      <c r="A262" s="80" t="inlineStr">
        <is>
          <t>End Function</t>
        </is>
      </c>
      <c r="B262" s="67" t="n"/>
    </row>
    <row r="263">
      <c r="A263" s="80" t="inlineStr"/>
      <c r="B263" s="67" t="n"/>
    </row>
    <row r="264">
      <c r="A264" s="80" t="inlineStr">
        <is>
          <t>Private Function SatisKuruBulV6(ByVal html As String, ByVal kod As String) As Double</t>
        </is>
      </c>
      <c r="B264" s="67" t="n"/>
    </row>
    <row r="265">
      <c r="A265" s="80" t="inlineStr">
        <is>
          <t xml:space="preserve">    Dim re As Object, ms As Object, m As Object</t>
        </is>
      </c>
      <c r="B265" s="67" t="n"/>
    </row>
    <row r="266">
      <c r="A266" s="80" t="inlineStr">
        <is>
          <t xml:space="preserve">    Dim alis As Double, satis As Double</t>
        </is>
      </c>
      <c r="B266" s="67" t="n"/>
    </row>
    <row r="267">
      <c r="A267" s="80" t="inlineStr">
        <is>
          <t xml:space="preserve">    Set re = CreateObject("VBScript.RegExp")</t>
        </is>
      </c>
      <c r="B267" s="67" t="n"/>
    </row>
    <row r="268">
      <c r="A268" s="80" t="inlineStr">
        <is>
          <t xml:space="preserve">    With re</t>
        </is>
      </c>
      <c r="B268" s="67" t="n"/>
    </row>
    <row r="269">
      <c r="A269" s="80" t="inlineStr">
        <is>
          <t xml:space="preserve">        .Global = True</t>
        </is>
      </c>
      <c r="B269" s="67" t="n"/>
    </row>
    <row r="270">
      <c r="A270" s="80" t="inlineStr">
        <is>
          <t xml:space="preserve">        .IgnoreCase = True</t>
        </is>
      </c>
      <c r="B270" s="67" t="n"/>
    </row>
    <row r="271">
      <c r="A271" s="80" t="inlineStr">
        <is>
          <t xml:space="preserve">        .MultiLine = True</t>
        </is>
      </c>
      <c r="B271" s="67" t="n"/>
    </row>
    <row r="272">
      <c r="A272" s="80" t="inlineStr">
        <is>
          <t xml:space="preserve">        .Pattern = "\b" &amp; kod &amp; "\b[\s\S]{0,500}?([0-9]{1,3}[.,][0-9]{2,5})[\s\S]{0,200}?([0-9]{1,3}[.,][0-9]{2,5})"</t>
        </is>
      </c>
      <c r="B272" s="67" t="n"/>
    </row>
    <row r="273">
      <c r="A273" s="80" t="inlineStr">
        <is>
          <t xml:space="preserve">    End With</t>
        </is>
      </c>
      <c r="B273" s="67" t="n"/>
    </row>
    <row r="274">
      <c r="A274" s="80" t="inlineStr">
        <is>
          <t xml:space="preserve">    Set ms = re.Execute(html)</t>
        </is>
      </c>
      <c r="B274" s="67" t="n"/>
    </row>
    <row r="275">
      <c r="A275" s="80" t="inlineStr">
        <is>
          <t xml:space="preserve">    For Each m In ms</t>
        </is>
      </c>
      <c r="B275" s="67" t="n"/>
    </row>
    <row r="276">
      <c r="A276" s="80" t="inlineStr">
        <is>
          <t xml:space="preserve">        alis = YerelSayiyaCevirV3(CStr(m.SubMatches(0)))</t>
        </is>
      </c>
      <c r="B276" s="67" t="n"/>
    </row>
    <row r="277">
      <c r="A277" s="80" t="inlineStr">
        <is>
          <t xml:space="preserve">        satis = YerelSayiyaCevirV3(CStr(m.SubMatches(1)))</t>
        </is>
      </c>
      <c r="B277" s="67" t="n"/>
    </row>
    <row r="278">
      <c r="A278" s="80" t="inlineStr">
        <is>
          <t xml:space="preserve">        If alis &gt; 1 And satis &gt; alis And satis &lt; 1000 And satis / alis &lt; 1.25 Then</t>
        </is>
      </c>
      <c r="B278" s="67" t="n"/>
    </row>
    <row r="279">
      <c r="A279" s="80" t="inlineStr">
        <is>
          <t xml:space="preserve">            SatisKuruBulV6 = satis</t>
        </is>
      </c>
      <c r="B279" s="67" t="n"/>
    </row>
    <row r="280">
      <c r="A280" s="80" t="inlineStr">
        <is>
          <t xml:space="preserve">            Exit Function</t>
        </is>
      </c>
      <c r="B280" s="67" t="n"/>
    </row>
    <row r="281">
      <c r="A281" s="80" t="inlineStr">
        <is>
          <t xml:space="preserve">        End If</t>
        </is>
      </c>
      <c r="B281" s="67" t="n"/>
    </row>
    <row r="282">
      <c r="A282" s="80" t="inlineStr">
        <is>
          <t xml:space="preserve">    Next m</t>
        </is>
      </c>
      <c r="B282" s="67" t="n"/>
    </row>
    <row r="283">
      <c r="A283" s="80" t="inlineStr">
        <is>
          <t>End Function</t>
        </is>
      </c>
      <c r="B283" s="67" t="n"/>
    </row>
    <row r="284">
      <c r="A284" s="80" t="inlineStr"/>
      <c r="B284" s="67" t="n"/>
    </row>
    <row r="285">
      <c r="A285" s="80" t="inlineStr">
        <is>
          <t>' Val() her zaman noktayı ondalık ayıracı kabul eder; Windows/Excel bölge ayarından etkilenmez.</t>
        </is>
      </c>
      <c r="B285" s="67" t="n"/>
    </row>
    <row r="286">
      <c r="A286" s="80" t="inlineStr">
        <is>
          <t>Private Function YerelSayiyaCevirV3(ByVal metin As String) As Double</t>
        </is>
      </c>
      <c r="B286" s="67" t="n"/>
    </row>
    <row r="287">
      <c r="A287" s="80" t="inlineStr">
        <is>
          <t xml:space="preserve">    Dim s As String</t>
        </is>
      </c>
      <c r="B287" s="67" t="n"/>
    </row>
    <row r="288">
      <c r="A288" s="80" t="inlineStr">
        <is>
          <t xml:space="preserve">    s = Replace(Replace(Replace(Trim$(metin), "TL", ""), Chr$(160), ""), " ", "")</t>
        </is>
      </c>
      <c r="B288" s="67" t="n"/>
    </row>
    <row r="289">
      <c r="A289" s="80" t="inlineStr">
        <is>
          <t xml:space="preserve">    If InStr(s, ",") &gt; 0 Then s = Replace(Replace(s, ".", ""), ",", ".")</t>
        </is>
      </c>
      <c r="B289" s="67" t="n"/>
    </row>
    <row r="290">
      <c r="A290" s="80" t="inlineStr">
        <is>
          <t xml:space="preserve">    If Len(s) &gt; 0 And Not s Like "*[!0-9.]*" Then YerelSayiyaCevirV3 = Val(s)</t>
        </is>
      </c>
      <c r="B290" s="67" t="n"/>
    </row>
    <row r="291">
      <c r="A291" s="80" t="inlineStr">
        <is>
          <t>End Function</t>
        </is>
      </c>
      <c r="B291" s="67" t="n"/>
    </row>
    <row r="292">
      <c r="A292" s="80" t="inlineStr"/>
      <c r="B292" s="67" t="n"/>
    </row>
    <row r="293">
      <c r="A293" s="80" t="inlineStr">
        <is>
          <t>Public Sub IsBankasiKurlariGuncelleV3()</t>
        </is>
      </c>
      <c r="B293" s="67" t="n"/>
    </row>
    <row r="294">
      <c r="A294" s="80" t="inlineStr">
        <is>
          <t xml:space="preserve">    KurCekirdek False</t>
        </is>
      </c>
      <c r="B294" s="67" t="n"/>
    </row>
    <row r="295">
      <c r="A295" s="80" t="inlineStr">
        <is>
          <t>End Sub</t>
        </is>
      </c>
      <c r="B295" s="67" t="n"/>
    </row>
    <row r="296">
      <c r="A296" s="80" t="inlineStr"/>
      <c r="B296" s="67" t="n"/>
    </row>
    <row r="297">
      <c r="A297" s="80" t="inlineStr">
        <is>
          <t>Public Sub IsBankasiKurlariOtomatikV6(Optional ByVal Sessiz As Boolean = True)</t>
        </is>
      </c>
      <c r="B297" s="67" t="n"/>
    </row>
    <row r="298">
      <c r="A298" s="80" t="inlineStr">
        <is>
          <t xml:space="preserve">    KurCekirdek Sessiz</t>
        </is>
      </c>
      <c r="B298" s="67" t="n"/>
    </row>
    <row r="299">
      <c r="A299" s="80" t="inlineStr">
        <is>
          <t>End Sub</t>
        </is>
      </c>
      <c r="B299" s="67" t="n"/>
    </row>
    <row r="300">
      <c r="A300" s="80" t="inlineStr"/>
      <c r="B300" s="67" t="n"/>
    </row>
    <row r="301">
      <c r="A301" s="80" t="inlineStr">
        <is>
          <t>Public Sub KurlariSessizGuncelle()</t>
        </is>
      </c>
      <c r="B301" s="67" t="n"/>
    </row>
    <row r="302">
      <c r="A302" s="80" t="inlineStr">
        <is>
          <t xml:space="preserve">    KurCekirdek True</t>
        </is>
      </c>
      <c r="B302" s="67" t="n"/>
    </row>
    <row r="303">
      <c r="A303" s="80" t="inlineStr">
        <is>
          <t>End Sub</t>
        </is>
      </c>
      <c r="B303" s="67" t="n"/>
    </row>
    <row r="304">
      <c r="A304" s="80" t="inlineStr"/>
      <c r="B304" s="67" t="n"/>
    </row>
    <row r="305">
      <c r="A305" s="80" t="inlineStr">
        <is>
          <t>Rem ===== ÜRÜN VARSAYILANLARI =====</t>
        </is>
      </c>
      <c r="B305" s="67" t="n"/>
    </row>
    <row r="306">
      <c r="A306" s="80" t="inlineStr"/>
      <c r="B306" s="67" t="n"/>
    </row>
    <row r="307">
      <c r="A307" s="80" t="inlineStr">
        <is>
          <t>' Teklif Formu'nda ürün seçildiğinde Ürünler tablosundaki standart fiyat, para birimi ve KDV boş satıra yazılır.</t>
        </is>
      </c>
      <c r="B307" s="67" t="n"/>
    </row>
    <row r="308">
      <c r="A308" s="80" t="inlineStr">
        <is>
          <t>Public Sub UrunVarsayilanlariniUygula(ByVal hucre As Range)</t>
        </is>
      </c>
      <c r="B308" s="67" t="n"/>
    </row>
    <row r="309">
      <c r="A309" s="80" t="inlineStr">
        <is>
          <t xml:space="preserve">    Dim t As ListObject, r As Variant, urun As String, satir As Long, ws As Worksheet</t>
        </is>
      </c>
      <c r="B309" s="67" t="n"/>
    </row>
    <row r="310">
      <c r="A310" s="80" t="inlineStr">
        <is>
          <t xml:space="preserve">    On Error GoTo Son</t>
        </is>
      </c>
      <c r="B310" s="67" t="n"/>
    </row>
    <row r="311">
      <c r="A311" s="80" t="inlineStr">
        <is>
          <t xml:space="preserve">    urun = Trim$(CStr(hucre.Value))</t>
        </is>
      </c>
      <c r="B311" s="67" t="n"/>
    </row>
    <row r="312">
      <c r="A312" s="80" t="inlineStr">
        <is>
          <t xml:space="preserve">    If Len(urun) = 0 Then Exit Sub</t>
        </is>
      </c>
      <c r="B312" s="67" t="n"/>
    </row>
    <row r="313">
      <c r="A313" s="80" t="inlineStr">
        <is>
          <t xml:space="preserve">    Set ws = hucre.Worksheet</t>
        </is>
      </c>
      <c r="B313" s="67" t="n"/>
    </row>
    <row r="314">
      <c r="A314" s="80" t="inlineStr">
        <is>
          <t xml:space="preserve">    satir = hucre.Row</t>
        </is>
      </c>
      <c r="B314" s="67" t="n"/>
    </row>
    <row r="315">
      <c r="A315" s="80" t="inlineStr">
        <is>
          <t xml:space="preserve">    Set t = ThisWorkbook.Worksheets("Urunler").ListObjects("tblUrunler")</t>
        </is>
      </c>
      <c r="B315" s="67" t="n"/>
    </row>
    <row r="316">
      <c r="A316" s="80" t="inlineStr">
        <is>
          <t xml:space="preserve">    If t.DataBodyRange Is Nothing Then Exit Sub</t>
        </is>
      </c>
      <c r="B316" s="67" t="n"/>
    </row>
    <row r="317">
      <c r="A317" s="80" t="inlineStr">
        <is>
          <t xml:space="preserve">    r = Application.Match(urun, t.ListColumns("Urun").DataBodyRange, 0)</t>
        </is>
      </c>
      <c r="B317" s="67" t="n"/>
    </row>
    <row r="318">
      <c r="A318" s="80" t="inlineStr">
        <is>
          <t xml:space="preserve">    If IsError(r) Then Exit Sub</t>
        </is>
      </c>
      <c r="B318" s="77" t="n"/>
    </row>
    <row r="319">
      <c r="A319" s="80" t="inlineStr">
        <is>
          <t xml:space="preserve">    If Len(CStr(ws.Cells(satir, 4).Value)) = 0 Then ws.Cells(satir, 4).Value = 1</t>
        </is>
      </c>
      <c r="B319" s="67" t="n"/>
    </row>
    <row r="320">
      <c r="A320" s="80" t="inlineStr">
        <is>
          <t xml:space="preserve">    If Len(CStr(ws.Cells(satir, 5).Value)) = 0 Then</t>
        </is>
      </c>
      <c r="B320" s="67" t="n"/>
    </row>
    <row r="321">
      <c r="A321" s="81" t="inlineStr">
        <is>
          <t xml:space="preserve">        If Sayi(t.ListColumns("Standart Birim Fiyat").DataBodyRange.Cells(CLng(r), 1).Value) &gt; 0 Then</t>
        </is>
      </c>
      <c r="B321" s="67" t="n"/>
    </row>
    <row r="322">
      <c r="A322" s="80" t="inlineStr">
        <is>
          <t xml:space="preserve">            ws.Cells(satir, 5).Value = t.ListColumns("Standart Birim Fiyat").DataBodyRange.Cells(CLng(r), 1).Value</t>
        </is>
      </c>
      <c r="B322" s="67" t="n"/>
    </row>
    <row r="323">
      <c r="A323" s="80" t="inlineStr">
        <is>
          <t xml:space="preserve">        End If</t>
        </is>
      </c>
      <c r="B323" s="67" t="n"/>
    </row>
    <row r="324">
      <c r="A324" s="80" t="inlineStr">
        <is>
          <t xml:space="preserve">        If Len(CStr(t.ListColumns("Para Birimi").DataBodyRange.Cells(CLng(r), 1).Value)) &gt; 0 Then</t>
        </is>
      </c>
      <c r="B324" s="67" t="n"/>
    </row>
    <row r="325">
      <c r="A325" s="80" t="inlineStr">
        <is>
          <t xml:space="preserve">            ws.Cells(satir, 9).Value = t.ListColumns("Para Birimi").DataBodyRange.Cells(CLng(r), 1).Value</t>
        </is>
      </c>
      <c r="B325" s="67" t="n"/>
    </row>
    <row r="326">
      <c r="A326" s="80" t="inlineStr">
        <is>
          <t xml:space="preserve">        End If</t>
        </is>
      </c>
      <c r="B326" s="67" t="n"/>
    </row>
    <row r="327">
      <c r="A327" s="80" t="inlineStr">
        <is>
          <t xml:space="preserve">    End If</t>
        </is>
      </c>
      <c r="B327" s="67" t="n"/>
    </row>
    <row r="328">
      <c r="A328" s="80" t="inlineStr">
        <is>
          <t xml:space="preserve">    If Len(CStr(t.ListColumns("KDV").DataBodyRange.Cells(CLng(r), 1).Value)) &gt; 0 Then</t>
        </is>
      </c>
      <c r="B328" s="67" t="n"/>
    </row>
    <row r="329">
      <c r="A329" s="80" t="inlineStr">
        <is>
          <t xml:space="preserve">        ws.Cells(satir, 7).Value = t.ListColumns("KDV").DataBodyRange.Cells(CLng(r), 1).Value</t>
        </is>
      </c>
      <c r="B329" s="67" t="n"/>
    </row>
    <row r="330">
      <c r="A330" s="80" t="inlineStr">
        <is>
          <t xml:space="preserve">    End If</t>
        </is>
      </c>
      <c r="B330" s="67" t="n"/>
    </row>
    <row r="331">
      <c r="A331" s="80" t="inlineStr">
        <is>
          <t>Son:</t>
        </is>
      </c>
      <c r="B331" s="67" t="n"/>
    </row>
    <row r="332">
      <c r="A332" s="80" t="inlineStr">
        <is>
          <t>End Sub</t>
        </is>
      </c>
      <c r="B332" s="67" t="n"/>
    </row>
    <row r="333">
      <c r="A333" s="80" t="inlineStr"/>
      <c r="B333" s="67" t="n"/>
    </row>
    <row r="334">
      <c r="A334" s="80" t="inlineStr">
        <is>
          <t>Rem ===== WHATSAPP =====</t>
        </is>
      </c>
      <c r="B334" s="67" t="n"/>
    </row>
    <row r="335">
      <c r="A335" s="80" t="inlineStr"/>
      <c r="B335" s="67" t="n"/>
    </row>
    <row r="336">
      <c r="A336" s="80" t="inlineStr">
        <is>
          <t>Public Sub TeklifiWhatsAppPDFGonderV5()</t>
        </is>
      </c>
      <c r="B336" s="67" t="n"/>
    </row>
    <row r="337">
      <c r="A337" s="80" t="inlineStr">
        <is>
          <t xml:space="preserve">    On Error GoTo Hata</t>
        </is>
      </c>
      <c r="B337" s="67" t="n"/>
    </row>
    <row r="338">
      <c r="A338" s="80" t="inlineStr">
        <is>
          <t xml:space="preserve">    Dim ws As Worksheet, tel As String, pdf As String, varsayilanTel As String</t>
        </is>
      </c>
      <c r="B338" s="67" t="n"/>
    </row>
    <row r="339">
      <c r="A339" s="80" t="inlineStr">
        <is>
          <t xml:space="preserve">    Dim mesaj As String, url As String, yetkili As String, asama As String, bekle As Single</t>
        </is>
      </c>
      <c r="B339" s="67" t="n"/>
    </row>
    <row r="340">
      <c r="A340" s="80" t="inlineStr"/>
      <c r="B340" s="67" t="n"/>
    </row>
    <row r="341">
      <c r="A341" s="80" t="inlineStr">
        <is>
          <t xml:space="preserve">    pdf = ""</t>
        </is>
      </c>
      <c r="B341" s="67" t="n"/>
    </row>
    <row r="342">
      <c r="A342" s="80" t="inlineStr">
        <is>
          <t xml:space="preserve">    asama = "Teklif kontrol ediliyor"</t>
        </is>
      </c>
      <c r="B342" s="67" t="n"/>
    </row>
    <row r="343">
      <c r="A343" s="80" t="inlineStr">
        <is>
          <t xml:space="preserve">    Set ws = TeklifSayfasi</t>
        </is>
      </c>
      <c r="B343" s="67" t="n"/>
    </row>
    <row r="344">
      <c r="A344" s="80" t="inlineStr">
        <is>
          <t xml:space="preserve">    If Not GonderimOnayi("WhatsApp gönderimi") Then Exit Sub</t>
        </is>
      </c>
      <c r="B344" s="67" t="n"/>
    </row>
    <row r="345">
      <c r="A345" s="80" t="inlineStr">
        <is>
          <t xml:space="preserve">    varsayilanTel = MusteriBilgisi(CStr(ws.Range("D3").Value), "Telefon")</t>
        </is>
      </c>
      <c r="B345" s="67" t="n"/>
    </row>
    <row r="346">
      <c r="A346" s="80" t="inlineStr">
        <is>
          <t xml:space="preserve">    tel = TemizTelefonV5(InputBox("Alıcı telefonunu ülke koduyla girin (örn. 905xxxxxxxxx):", "WhatsApp PDF Paylaşımı " &amp; SURUM, varsayilanTel))</t>
        </is>
      </c>
      <c r="B346" s="67" t="n"/>
    </row>
    <row r="347">
      <c r="A347" s="80" t="inlineStr">
        <is>
          <t xml:space="preserve">    If Len(tel) = 0 Then Exit Sub</t>
        </is>
      </c>
      <c r="B347" s="67" t="n"/>
    </row>
    <row r="348">
      <c r="A348" s="80" t="inlineStr">
        <is>
          <t xml:space="preserve">    If Len(tel) &lt; 10 Or Len(tel) &gt; 15 Then Err.Raise vbObjectError + 201, , "Telefon numarası geçersiz."</t>
        </is>
      </c>
      <c r="B348" s="67" t="n"/>
    </row>
    <row r="349">
      <c r="A349" s="80" t="inlineStr">
        <is>
          <t xml:space="preserve">    If MsgBox("Teklif PDF olarak oluşturulup +" &amp; tel &amp; " numarasına gönderilecek. Devam edilsin mi?", vbYesNo + vbQuestion, "Onay " &amp; SURUM) &lt;&gt; vbYes Then Exit Sub</t>
        </is>
      </c>
      <c r="B349" s="67" t="n"/>
    </row>
    <row r="350">
      <c r="A350" s="80" t="inlineStr"/>
      <c r="B350" s="67" t="n"/>
    </row>
    <row r="351">
      <c r="A351" s="80" t="inlineStr">
        <is>
          <t xml:space="preserve">    asama = "A4 PDF oluşturuluyor"</t>
        </is>
      </c>
      <c r="B351" s="67" t="n"/>
    </row>
    <row r="352">
      <c r="A352" s="80" t="inlineStr">
        <is>
          <t xml:space="preserve">    pdf = TeklifPDFOlustur(MasaustuPDFKlasoru())</t>
        </is>
      </c>
      <c r="B352" s="67" t="n"/>
    </row>
    <row r="353">
      <c r="A353" s="80" t="inlineStr"/>
      <c r="B353" s="67" t="n"/>
    </row>
    <row r="354">
      <c r="A354" s="80" t="inlineStr">
        <is>
          <t xml:space="preserve">    asama = "PDF Windows panosuna alınıyor"</t>
        </is>
      </c>
      <c r="B354" s="67" t="n"/>
    </row>
    <row r="355">
      <c r="A355" s="80" t="inlineStr">
        <is>
          <t xml:space="preserve">    DosyayiPanoyaKopyalaV5 pdf</t>
        </is>
      </c>
      <c r="B355" s="67" t="n"/>
    </row>
    <row r="356">
      <c r="A356" s="80" t="inlineStr"/>
      <c r="B356" s="67" t="n"/>
    </row>
    <row r="357">
      <c r="A357" s="80" t="inlineStr">
        <is>
          <t xml:space="preserve">    asama = "WhatsApp Web açılıyor"</t>
        </is>
      </c>
      <c r="B357" s="67" t="n"/>
    </row>
    <row r="358">
      <c r="A358" s="80" t="inlineStr">
        <is>
          <t xml:space="preserve">    yetkili = Trim$(CStr(ws.Range("D4").Value))</t>
        </is>
      </c>
      <c r="B358" s="67" t="n"/>
    </row>
    <row r="359">
      <c r="A359" s="80" t="inlineStr">
        <is>
          <t xml:space="preserve">    mesaj = IIf(Len(yetkili) &gt; 0, "Sayın " &amp; yetkili &amp; ", ", "Merhaba, ") &amp; AktifTeklifNo() &amp; " numaralı teklifimiz ektedir."</t>
        </is>
      </c>
      <c r="B359" s="67" t="n"/>
    </row>
    <row r="360">
      <c r="A360" s="80" t="inlineStr">
        <is>
          <t xml:space="preserve">    url = "https://web.whatsapp.com/send?phone=" &amp; tel &amp; "&amp;text=" &amp; UrlEncode(mesaj)</t>
        </is>
      </c>
      <c r="B360" s="67" t="n"/>
    </row>
    <row r="361">
      <c r="A361" s="80" t="inlineStr">
        <is>
          <t xml:space="preserve">    ThisWorkbook.FollowHyperlink Address:=url, NewWindow:=True</t>
        </is>
      </c>
      <c r="B361" s="67" t="n"/>
    </row>
    <row r="362">
      <c r="A362" s="80" t="inlineStr"/>
      <c r="B362" s="67" t="n"/>
    </row>
    <row r="363">
      <c r="A363" s="80" t="inlineStr">
        <is>
          <t xml:space="preserve">    asama = "WhatsApp penceresi bekleniyor"</t>
        </is>
      </c>
      <c r="B363" s="67" t="n"/>
    </row>
    <row r="364">
      <c r="A364" s="80" t="inlineStr">
        <is>
          <t xml:space="preserve">    bekle = Timer</t>
        </is>
      </c>
      <c r="B364" s="67" t="n"/>
    </row>
    <row r="365">
      <c r="A365" s="80" t="inlineStr">
        <is>
          <t xml:space="preserve">    Do</t>
        </is>
      </c>
      <c r="B365" s="67" t="n"/>
    </row>
    <row r="366">
      <c r="A366" s="80" t="inlineStr">
        <is>
          <t xml:space="preserve">        Application.Wait Now + TimeSerial(0, 0, 1)</t>
        </is>
      </c>
      <c r="B366" s="67" t="n"/>
    </row>
    <row r="367">
      <c r="A367" s="80" t="inlineStr">
        <is>
          <t xml:space="preserve">        If PencereyiOneGetir("WhatsApp") Then Exit Do</t>
        </is>
      </c>
      <c r="B367" s="67" t="n"/>
    </row>
    <row r="368">
      <c r="A368" s="80" t="inlineStr">
        <is>
          <t xml:space="preserve">        If Timer - bekle &gt; WHATSAPP_BEKLEME_SANIYE Or Timer &lt; bekle Then Err.Raise vbObjectError + 205, , "WhatsApp Web penceresi bulunamadı. Tarayıcıda WhatsApp Web'e giriş yapıp tekrar deneyin."</t>
        </is>
      </c>
      <c r="B368" s="67" t="n"/>
    </row>
    <row r="369">
      <c r="A369" s="80" t="inlineStr">
        <is>
          <t xml:space="preserve">    Loop</t>
        </is>
      </c>
      <c r="B369" s="67" t="n"/>
    </row>
    <row r="370">
      <c r="A370" s="80" t="inlineStr">
        <is>
          <t xml:space="preserve">    ' Sohbetin yüklenmesi ve mesaj kutusunun odaklanması için bekleme.</t>
        </is>
      </c>
      <c r="B370" s="67" t="n"/>
    </row>
    <row r="371">
      <c r="A371" s="80" t="inlineStr">
        <is>
          <t xml:space="preserve">    Application.Wait Now + TimeSerial(0, 0, 8)</t>
        </is>
      </c>
      <c r="B371" s="67" t="n"/>
    </row>
    <row r="372">
      <c r="A372" s="80" t="inlineStr">
        <is>
          <t xml:space="preserve">    PencereyiOneGetir "WhatsApp"</t>
        </is>
      </c>
      <c r="B372" s="67" t="n"/>
    </row>
    <row r="373">
      <c r="A373" s="80" t="inlineStr"/>
      <c r="B373" s="67" t="n"/>
    </row>
    <row r="374">
      <c r="A374" s="80" t="inlineStr">
        <is>
          <t xml:space="preserve">    asama = "PDF WhatsApp'a yapıştırılıyor"</t>
        </is>
      </c>
      <c r="B374" s="67" t="n"/>
    </row>
    <row r="375">
      <c r="A375" s="80" t="inlineStr">
        <is>
          <t xml:space="preserve">    With CreateObject("WScript.Shell")</t>
        </is>
      </c>
      <c r="B375" s="67" t="n"/>
    </row>
    <row r="376">
      <c r="A376" s="80" t="inlineStr">
        <is>
          <t xml:space="preserve">        .SendKeys "^v", True</t>
        </is>
      </c>
      <c r="B376" s="67" t="n"/>
    </row>
    <row r="377">
      <c r="A377" s="80" t="inlineStr">
        <is>
          <t xml:space="preserve">        Application.Wait Now + TimeSerial(0, 0, 4)</t>
        </is>
      </c>
      <c r="B377" s="67" t="n"/>
    </row>
    <row r="378">
      <c r="A378" s="80" t="inlineStr">
        <is>
          <t xml:space="preserve">        .SendKeys "{ENTER}", True</t>
        </is>
      </c>
      <c r="B378" s="67" t="n"/>
    </row>
    <row r="379">
      <c r="A379" s="80" t="inlineStr">
        <is>
          <t xml:space="preserve">    End With</t>
        </is>
      </c>
      <c r="B379" s="67" t="n"/>
    </row>
    <row r="380">
      <c r="A380" s="80" t="inlineStr"/>
      <c r="B380" s="67" t="n"/>
    </row>
    <row r="381">
      <c r="A381" s="80" t="inlineStr">
        <is>
          <t xml:space="preserve">    TeklifIslemLoguV2 "WhatsApp gönderildi", AktifTeklifNo(), "Kontrol edilmeli", pdf</t>
        </is>
      </c>
      <c r="B381" s="67" t="n"/>
    </row>
    <row r="382">
      <c r="A382" s="80" t="inlineStr">
        <is>
          <t xml:space="preserve">    MsgBox "PDF WhatsApp'a yapıştırıldı ve gönder komutu verildi." &amp; vbCrLf &amp; _</t>
        </is>
      </c>
      <c r="B382" s="67" t="n"/>
    </row>
    <row r="383">
      <c r="A383" s="80" t="inlineStr">
        <is>
          <t xml:space="preserve">        "Lütfen WhatsApp penceresinde gönderildiğini kontrol edin." &amp; vbCrLf &amp; vbCrLf &amp; pdf, vbInformation, "WhatsApp " &amp; SURUM</t>
        </is>
      </c>
      <c r="B383" s="67" t="n"/>
    </row>
    <row r="384">
      <c r="A384" s="80" t="inlineStr">
        <is>
          <t xml:space="preserve">    Exit Sub</t>
        </is>
      </c>
      <c r="B384" s="67" t="n"/>
    </row>
    <row r="385">
      <c r="A385" s="80" t="inlineStr">
        <is>
          <t>Hata:</t>
        </is>
      </c>
      <c r="B385" s="67" t="n"/>
    </row>
    <row r="386">
      <c r="A386" s="80" t="inlineStr">
        <is>
          <t xml:space="preserve">    MsgBox "WhatsApp paylaşımı tamamlanamadı." &amp; vbCrLf &amp; "Aşama: " &amp; asama &amp; vbCrLf &amp; _</t>
        </is>
      </c>
      <c r="B386" s="67" t="n"/>
    </row>
    <row r="387">
      <c r="A387" s="80" t="inlineStr">
        <is>
          <t xml:space="preserve">        "Hata " &amp; Err.Number &amp; ": " &amp; Err.Description &amp; IIf(Len(pdf) &gt; 0, vbCrLf &amp; "PDF yolu: " &amp; pdf, ""), vbExclamation, "WhatsApp " &amp; SURUM</t>
        </is>
      </c>
      <c r="B387" s="67" t="n"/>
    </row>
    <row r="388">
      <c r="A388" s="80" t="inlineStr">
        <is>
          <t>End Sub</t>
        </is>
      </c>
      <c r="B388" s="67" t="n"/>
    </row>
    <row r="389">
      <c r="A389" s="80" t="inlineStr"/>
      <c r="B389" s="67" t="n"/>
    </row>
    <row r="390">
      <c r="A390" s="80" t="inlineStr">
        <is>
          <t>#If VBA7 Then</t>
        </is>
      </c>
      <c r="B390" s="67" t="n"/>
    </row>
    <row r="391">
      <c r="A391" s="80" t="inlineStr">
        <is>
          <t>Private Function PencereBasligi(ByVal h As LongPtr) As String</t>
        </is>
      </c>
      <c r="B391" s="67" t="n"/>
    </row>
    <row r="392">
      <c r="A392" s="80" t="inlineStr">
        <is>
          <t>#Else</t>
        </is>
      </c>
      <c r="B392" s="67" t="n"/>
    </row>
    <row r="393">
      <c r="A393" s="80" t="inlineStr">
        <is>
          <t>Private Function PencereBasligi(ByVal h As Long) As String</t>
        </is>
      </c>
      <c r="B393" s="67" t="n"/>
    </row>
    <row r="394">
      <c r="A394" s="80" t="inlineStr">
        <is>
          <t>#End If</t>
        </is>
      </c>
      <c r="B394" s="67" t="n"/>
    </row>
    <row r="395">
      <c r="A395" s="80" t="inlineStr">
        <is>
          <t xml:space="preserve">    Dim b As String, n As Long</t>
        </is>
      </c>
      <c r="B395" s="67" t="n"/>
    </row>
    <row r="396">
      <c r="A396" s="80" t="inlineStr">
        <is>
          <t xml:space="preserve">    b = String$(512, vbNullChar)</t>
        </is>
      </c>
      <c r="B396" s="67" t="n"/>
    </row>
    <row r="397">
      <c r="A397" s="80" t="inlineStr">
        <is>
          <t xml:space="preserve">    n = GetWindowTextW(h, StrPtr(b), 512)</t>
        </is>
      </c>
      <c r="B397" s="67" t="n"/>
    </row>
    <row r="398">
      <c r="A398" s="80" t="inlineStr">
        <is>
          <t xml:space="preserve">    If n &gt; 0 Then PencereBasligi = Left$(b, n)</t>
        </is>
      </c>
      <c r="B398" s="67" t="n"/>
    </row>
    <row r="399">
      <c r="A399" s="80" t="inlineStr">
        <is>
          <t>End Function</t>
        </is>
      </c>
      <c r="B399" s="67" t="n"/>
    </row>
    <row r="400">
      <c r="A400" s="80" t="inlineStr"/>
      <c r="B400" s="67" t="n"/>
    </row>
    <row r="401">
      <c r="A401" s="80" t="inlineStr">
        <is>
          <t>' Başlığında aranan metin geçen ilk görünür pencereyi öne getirir ("(3) WhatsApp - Chrome" gibi başlıklar dahil).</t>
        </is>
      </c>
      <c r="B401" s="67" t="n"/>
    </row>
    <row r="402">
      <c r="A402" s="80" t="inlineStr">
        <is>
          <t>Private Function PencereyiOneGetir(ByVal arananMetin As String) As Boolean</t>
        </is>
      </c>
      <c r="B402" s="67" t="n"/>
    </row>
    <row r="403">
      <c r="A403" s="80" t="inlineStr">
        <is>
          <t>#If VBA7 Then</t>
        </is>
      </c>
      <c r="B403" s="67" t="n"/>
    </row>
    <row r="404">
      <c r="A404" s="80" t="inlineStr">
        <is>
          <t xml:space="preserve">    Dim h As LongPtr</t>
        </is>
      </c>
      <c r="B404" s="67" t="n"/>
    </row>
    <row r="405">
      <c r="A405" s="80" t="inlineStr">
        <is>
          <t>#Else</t>
        </is>
      </c>
      <c r="B405" s="67" t="n"/>
    </row>
    <row r="406">
      <c r="A406" s="80" t="inlineStr">
        <is>
          <t xml:space="preserve">    Dim h As Long</t>
        </is>
      </c>
      <c r="B406" s="67" t="n"/>
    </row>
    <row r="407">
      <c r="A407" s="80" t="inlineStr">
        <is>
          <t>#End If</t>
        </is>
      </c>
      <c r="B407" s="67" t="n"/>
    </row>
    <row r="408">
      <c r="A408" s="80" t="inlineStr">
        <is>
          <t xml:space="preserve">    h = GetWindow(GetDesktopWindow(), 5)</t>
        </is>
      </c>
      <c r="B408" s="67" t="n"/>
    </row>
    <row r="409">
      <c r="A409" s="80" t="inlineStr">
        <is>
          <t xml:space="preserve">    Do While h &lt;&gt; 0</t>
        </is>
      </c>
      <c r="B409" s="67" t="n"/>
    </row>
    <row r="410">
      <c r="A410" s="80" t="inlineStr">
        <is>
          <t xml:space="preserve">        If IsWindowVisible(h) &lt;&gt; 0 Then</t>
        </is>
      </c>
      <c r="B410" s="67" t="n"/>
    </row>
    <row r="411">
      <c r="A411" s="80" t="inlineStr">
        <is>
          <t xml:space="preserve">            If InStr(1, PencereBasligi(h), arananMetin, vbTextCompare) &gt; 0 Then</t>
        </is>
      </c>
      <c r="B411" s="77" t="n"/>
    </row>
    <row r="412">
      <c r="A412" s="80" t="inlineStr">
        <is>
          <t xml:space="preserve">                If IsIconic(h) &lt;&gt; 0 Then ShowWindow h, 9</t>
        </is>
      </c>
      <c r="B412" s="67" t="n"/>
    </row>
    <row r="413">
      <c r="A413" s="81" t="inlineStr">
        <is>
          <t xml:space="preserve">                SetForegroundWindow h</t>
        </is>
      </c>
      <c r="B413" s="67" t="n"/>
    </row>
    <row r="414">
      <c r="A414" s="80" t="inlineStr">
        <is>
          <t xml:space="preserve">                PencereyiOneGetir = True</t>
        </is>
      </c>
      <c r="B414" s="67" t="n"/>
    </row>
    <row r="415">
      <c r="A415" s="80" t="inlineStr">
        <is>
          <t xml:space="preserve">                Exit Function</t>
        </is>
      </c>
      <c r="B415" s="67" t="n"/>
    </row>
    <row r="416">
      <c r="A416" s="80" t="inlineStr">
        <is>
          <t xml:space="preserve">            End If</t>
        </is>
      </c>
      <c r="B416" s="67" t="n"/>
    </row>
    <row r="417">
      <c r="A417" s="80" t="inlineStr">
        <is>
          <t xml:space="preserve">        End If</t>
        </is>
      </c>
      <c r="B417" s="67" t="n"/>
    </row>
    <row r="418">
      <c r="A418" s="80" t="inlineStr">
        <is>
          <t xml:space="preserve">        h = GetWindow(h, 2)</t>
        </is>
      </c>
      <c r="B418" s="67" t="n"/>
    </row>
    <row r="419">
      <c r="A419" s="80" t="inlineStr">
        <is>
          <t xml:space="preserve">    Loop</t>
        </is>
      </c>
      <c r="B419" s="67" t="n"/>
    </row>
    <row r="420">
      <c r="A420" s="80" t="inlineStr">
        <is>
          <t>End Function</t>
        </is>
      </c>
      <c r="B420" s="67" t="n"/>
    </row>
    <row r="421">
      <c r="A421" s="80" t="inlineStr"/>
      <c r="B421" s="67" t="n"/>
    </row>
    <row r="422">
      <c r="A422" s="80" t="inlineStr">
        <is>
          <t>Private Sub DosyayiPanoyaKopyalaV5(ByVal pdf As String)</t>
        </is>
      </c>
      <c r="B422" s="67" t="n"/>
    </row>
    <row r="423">
      <c r="A423" s="80" t="inlineStr">
        <is>
          <t xml:space="preserve">    Dim komut As String, sonuc As Long</t>
        </is>
      </c>
      <c r="B423" s="67" t="n"/>
    </row>
    <row r="424">
      <c r="A424" s="80" t="inlineStr">
        <is>
          <t xml:space="preserve">    If Len(Dir$(pdf)) = 0 Then Err.Raise vbObjectError + 206, , "Panoya alınacak PDF bulunamadı: " &amp; pdf</t>
        </is>
      </c>
      <c r="B424" s="67" t="n"/>
    </row>
    <row r="425">
      <c r="A425" s="80" t="inlineStr">
        <is>
          <t xml:space="preserve">    komut = "powershell.exe -NoProfile -STA -Command ""Add-Type -AssemblyName System.Windows.Forms; " &amp; _</t>
        </is>
      </c>
      <c r="B425" s="67" t="n"/>
    </row>
    <row r="426">
      <c r="A426" s="80" t="inlineStr">
        <is>
          <t xml:space="preserve">        "$f=New-Object System.Collections.Specialized.StringCollection; [void]$f.Add('" &amp; Replace(pdf, "'", "''") &amp; "'); " &amp; _</t>
        </is>
      </c>
      <c r="B426" s="67" t="n"/>
    </row>
    <row r="427">
      <c r="A427" s="80" t="inlineStr">
        <is>
          <t xml:space="preserve">        "[System.Windows.Forms.Clipboard]::SetFileDropList($f)"""</t>
        </is>
      </c>
      <c r="B427" s="67" t="n"/>
    </row>
    <row r="428">
      <c r="A428" s="80" t="inlineStr">
        <is>
          <t xml:space="preserve">    sonuc = CreateObject("WScript.Shell").Run(komut, 0, True)</t>
        </is>
      </c>
      <c r="B428" s="67" t="n"/>
    </row>
    <row r="429">
      <c r="A429" s="80" t="inlineStr">
        <is>
          <t xml:space="preserve">    If sonuc &lt;&gt; 0 Then Err.Raise vbObjectError + 208, , "PDF panoya alınamadı. PowerShell çıkış kodu: " &amp; sonuc</t>
        </is>
      </c>
      <c r="B429" s="67" t="n"/>
    </row>
    <row r="430">
      <c r="A430" s="80" t="inlineStr">
        <is>
          <t xml:space="preserve">    DoEvents</t>
        </is>
      </c>
      <c r="B430" s="67" t="n"/>
    </row>
    <row r="431">
      <c r="A431" s="80" t="inlineStr">
        <is>
          <t>End Sub</t>
        </is>
      </c>
      <c r="B431" s="67" t="n"/>
    </row>
    <row r="432">
      <c r="A432" s="80" t="inlineStr"/>
      <c r="B432" s="67" t="n"/>
    </row>
    <row r="433">
      <c r="A433" s="80" t="inlineStr">
        <is>
          <t>Private Function TemizTelefonV5(ByVal metin As String) As String</t>
        </is>
      </c>
      <c r="B433" s="67" t="n"/>
    </row>
    <row r="434">
      <c r="A434" s="80" t="inlineStr">
        <is>
          <t xml:space="preserve">    Dim i As Long, ch As String, sonuc As String</t>
        </is>
      </c>
      <c r="B434" s="67" t="n"/>
    </row>
    <row r="435">
      <c r="A435" s="80" t="inlineStr">
        <is>
          <t xml:space="preserve">    For i = 1 To Len(metin)</t>
        </is>
      </c>
      <c r="B435" s="67" t="n"/>
    </row>
    <row r="436">
      <c r="A436" s="80" t="inlineStr">
        <is>
          <t xml:space="preserve">        ch = Mid$(metin, i, 1)</t>
        </is>
      </c>
      <c r="B436" s="67" t="n"/>
    </row>
    <row r="437">
      <c r="A437" s="80" t="inlineStr">
        <is>
          <t xml:space="preserve">        If ch Like "#" Then sonuc = sonuc &amp; ch</t>
        </is>
      </c>
      <c r="B437" s="67" t="n"/>
    </row>
    <row r="438">
      <c r="A438" s="80" t="inlineStr">
        <is>
          <t xml:space="preserve">    Next i</t>
        </is>
      </c>
      <c r="B438" s="67" t="n"/>
    </row>
    <row r="439">
      <c r="A439" s="80" t="inlineStr">
        <is>
          <t xml:space="preserve">    If Left$(sonuc, 2) = "00" Then sonuc = Mid$(sonuc, 3)</t>
        </is>
      </c>
      <c r="B439" s="67" t="n"/>
    </row>
    <row r="440">
      <c r="A440" s="80" t="inlineStr">
        <is>
          <t xml:space="preserve">    If Left$(sonuc, 2) = "05" And Len(sonuc) = 11 Then sonuc = "90" &amp; Mid$(sonuc, 2)</t>
        </is>
      </c>
      <c r="B440" s="67" t="n"/>
    </row>
    <row r="441">
      <c r="A441" s="80" t="inlineStr">
        <is>
          <t xml:space="preserve">    If Len(sonuc) = 10 And Left$(sonuc, 1) = "5" Then sonuc = "90" &amp; sonuc</t>
        </is>
      </c>
      <c r="B441" s="67" t="n"/>
    </row>
    <row r="442">
      <c r="A442" s="80" t="inlineStr">
        <is>
          <t xml:space="preserve">    TemizTelefonV5 = sonuc</t>
        </is>
      </c>
      <c r="B442" s="67" t="n"/>
    </row>
    <row r="443">
      <c r="A443" s="80" t="inlineStr">
        <is>
          <t>End Function</t>
        </is>
      </c>
      <c r="B443" s="67" t="n"/>
    </row>
    <row r="444">
      <c r="A444" s="80" t="inlineStr"/>
      <c r="B444" s="67" t="n"/>
    </row>
    <row r="445">
      <c r="A445" s="80" t="inlineStr">
        <is>
          <t>Rem ===== PDF =====</t>
        </is>
      </c>
      <c r="B445" s="67" t="n"/>
    </row>
    <row r="446">
      <c r="A446" s="80" t="inlineStr"/>
      <c r="B446" s="67" t="n"/>
    </row>
    <row r="447">
      <c r="A447" s="80" t="inlineStr">
        <is>
          <t>Public Sub TeklifiMasaustunePDFKaydetV2()</t>
        </is>
      </c>
      <c r="B447" s="67" t="n"/>
    </row>
    <row r="448">
      <c r="A448" s="80" t="inlineStr">
        <is>
          <t xml:space="preserve">    On Error GoTo Hata</t>
        </is>
      </c>
      <c r="B448" s="67" t="n"/>
    </row>
    <row r="449">
      <c r="A449" s="80" t="inlineStr">
        <is>
          <t xml:space="preserve">    Dim yol As String</t>
        </is>
      </c>
      <c r="B449" s="67" t="n"/>
    </row>
    <row r="450">
      <c r="A450" s="80" t="inlineStr">
        <is>
          <t xml:space="preserve">    If Not GonderimOnayi("PDF kaydı") Then Exit Sub</t>
        </is>
      </c>
      <c r="B450" s="67" t="n"/>
    </row>
    <row r="451">
      <c r="A451" s="80" t="inlineStr">
        <is>
          <t xml:space="preserve">    yol = TeklifPDFOlustur(MasaustuPDFKlasoru())</t>
        </is>
      </c>
      <c r="B451" s="67" t="n"/>
    </row>
    <row r="452">
      <c r="A452" s="80" t="inlineStr">
        <is>
          <t xml:space="preserve">    TeklifIslemLoguV2 "PDF kaydedildi", AktifTeklifNo(), "Başarılı", yol</t>
        </is>
      </c>
      <c r="B452" s="67" t="n"/>
    </row>
    <row r="453">
      <c r="A453" s="80" t="inlineStr">
        <is>
          <t xml:space="preserve">    CreateObject("Shell.Application").Open MasaustuPDFKlasoru()</t>
        </is>
      </c>
      <c r="B453" s="67" t="n"/>
    </row>
    <row r="454">
      <c r="A454" s="80" t="inlineStr">
        <is>
          <t xml:space="preserve">    MsgBox "Teklif PDF olarak kaydedildi." &amp; vbCrLf &amp; yol, vbInformation, "PDF " &amp; SURUM</t>
        </is>
      </c>
      <c r="B454" s="67" t="n"/>
    </row>
    <row r="455">
      <c r="A455" s="80" t="inlineStr">
        <is>
          <t xml:space="preserve">    Exit Sub</t>
        </is>
      </c>
      <c r="B455" s="67" t="n"/>
    </row>
    <row r="456">
      <c r="A456" s="80" t="inlineStr">
        <is>
          <t>Hata:</t>
        </is>
      </c>
      <c r="B456" s="67" t="n"/>
    </row>
    <row r="457">
      <c r="A457" s="80" t="inlineStr">
        <is>
          <t xml:space="preserve">    MsgBox "PDF kaydedilemedi." &amp; vbCrLf &amp; "Hata " &amp; Err.Number &amp; ": " &amp; Err.Description, vbExclamation, "PDF " &amp; SURUM</t>
        </is>
      </c>
      <c r="B457" s="67" t="n"/>
    </row>
    <row r="458">
      <c r="A458" s="80" t="inlineStr">
        <is>
          <t>End Sub</t>
        </is>
      </c>
      <c r="B458" s="67" t="n"/>
    </row>
    <row r="459">
      <c r="A459" s="80" t="inlineStr"/>
      <c r="B459" s="67" t="n"/>
    </row>
    <row r="460">
      <c r="A460" s="80" t="inlineStr">
        <is>
          <t>Public Sub PDFDugmesiniBaglaV2()</t>
        </is>
      </c>
      <c r="B460" s="67" t="n"/>
    </row>
    <row r="461">
      <c r="A461" s="80" t="inlineStr">
        <is>
          <t xml:space="preserve">    On Error GoTo Hata</t>
        </is>
      </c>
      <c r="B461" s="67" t="n"/>
    </row>
    <row r="462">
      <c r="A462" s="80" t="inlineStr">
        <is>
          <t xml:space="preserve">    ThisWorkbook.Worksheets("PDF Kaydet").Shapes("PDF Kaydet Düğmesi").OnAction = "'" &amp; ThisWorkbook.Name &amp; "'!TeklifiMasaustunePDFKaydetV2"</t>
        </is>
      </c>
      <c r="B462" s="67" t="n"/>
    </row>
    <row r="463">
      <c r="A463" s="80" t="inlineStr">
        <is>
          <t xml:space="preserve">    MsgBox "PDF Kaydet düğmesi hazır.", vbInformation</t>
        </is>
      </c>
      <c r="B463" s="67" t="n"/>
    </row>
    <row r="464">
      <c r="A464" s="80" t="inlineStr">
        <is>
          <t xml:space="preserve">    Exit Sub</t>
        </is>
      </c>
      <c r="B464" s="67" t="n"/>
    </row>
    <row r="465">
      <c r="A465" s="80" t="inlineStr">
        <is>
          <t>Hata:</t>
        </is>
      </c>
      <c r="B465" s="67" t="n"/>
    </row>
    <row r="466">
      <c r="A466" s="80" t="inlineStr">
        <is>
          <t xml:space="preserve">    MsgBox "Düğme bağlanamadı: " &amp; Err.Description, vbExclamation</t>
        </is>
      </c>
      <c r="B466" s="67" t="n"/>
    </row>
    <row r="467">
      <c r="A467" s="80" t="inlineStr">
        <is>
          <t>End Sub</t>
        </is>
      </c>
      <c r="B467" s="67" t="n"/>
    </row>
    <row r="468">
      <c r="A468" s="80" t="inlineStr"/>
      <c r="B468" s="67" t="n"/>
    </row>
    <row r="469">
      <c r="A469" s="80" t="inlineStr">
        <is>
          <t>Public Sub PDFKaydetTestiV2()</t>
        </is>
      </c>
      <c r="B469" s="67" t="n"/>
    </row>
    <row r="470">
      <c r="A470" s="80" t="inlineStr">
        <is>
          <t xml:space="preserve">    On Error GoTo Hata</t>
        </is>
      </c>
      <c r="B470" s="67" t="n"/>
    </row>
    <row r="471">
      <c r="A471" s="80" t="inlineStr">
        <is>
          <t xml:space="preserve">    Dim yol As String</t>
        </is>
      </c>
      <c r="B471" s="67" t="n"/>
    </row>
    <row r="472">
      <c r="A472" s="80" t="inlineStr">
        <is>
          <t xml:space="preserve">    yol = TeklifPDFOlustur(MasaustuPDFKlasoru(), "Teklif_TEST")</t>
        </is>
      </c>
      <c r="B472" s="67" t="n"/>
    </row>
    <row r="473">
      <c r="A473" s="80" t="inlineStr">
        <is>
          <t xml:space="preserve">    CreateObject("Shell.Application").Open MasaustuPDFKlasoru()</t>
        </is>
      </c>
      <c r="B473" s="67" t="n"/>
    </row>
    <row r="474">
      <c r="A474" s="80" t="inlineStr">
        <is>
          <t xml:space="preserve">    MsgBox "PDF kayıt testi başarılı." &amp; vbCrLf &amp; yol, vbInformation</t>
        </is>
      </c>
      <c r="B474" s="67" t="n"/>
    </row>
    <row r="475">
      <c r="A475" s="80" t="inlineStr">
        <is>
          <t xml:space="preserve">    Exit Sub</t>
        </is>
      </c>
      <c r="B475" s="67" t="n"/>
    </row>
    <row r="476">
      <c r="A476" s="80" t="inlineStr">
        <is>
          <t>Hata:</t>
        </is>
      </c>
      <c r="B476" s="67" t="n"/>
    </row>
    <row r="477">
      <c r="A477" s="80" t="inlineStr">
        <is>
          <t xml:space="preserve">    MsgBox "PDF kayıt testi başarısız. Hata " &amp; Err.Number &amp; ": " &amp; Err.Description, vbExclamation</t>
        </is>
      </c>
      <c r="B477" s="67" t="n"/>
    </row>
    <row r="478">
      <c r="A478" s="80" t="inlineStr">
        <is>
          <t>End Sub</t>
        </is>
      </c>
      <c r="B478" s="67" t="n"/>
    </row>
    <row r="479">
      <c r="A479" s="80" t="inlineStr"/>
      <c r="B479" s="67" t="n"/>
    </row>
    <row r="480">
      <c r="A480" s="80" t="inlineStr">
        <is>
          <t>Rem ===== OUTLOOK =====</t>
        </is>
      </c>
      <c r="B480" s="67" t="n"/>
    </row>
    <row r="481">
      <c r="A481" s="80" t="inlineStr"/>
      <c r="B481" s="67" t="n"/>
    </row>
    <row r="482">
      <c r="A482" s="80" t="inlineStr">
        <is>
          <t>Public Sub TeklifiOutlookPDFTaslakV1()</t>
        </is>
      </c>
      <c r="B482" s="67" t="n"/>
    </row>
    <row r="483">
      <c r="A483" s="80" t="inlineStr">
        <is>
          <t xml:space="preserve">    On Error GoTo Hata</t>
        </is>
      </c>
      <c r="B483" s="67" t="n"/>
    </row>
    <row r="484">
      <c r="A484" s="80" t="inlineStr">
        <is>
          <t xml:space="preserve">    Dim ws As Worksheet, outlookApp As Object, posta As Object</t>
        </is>
      </c>
      <c r="B484" s="67" t="n"/>
    </row>
    <row r="485">
      <c r="A485" s="80" t="inlineStr">
        <is>
          <t xml:space="preserve">    Dim tamYol As String, asama As String, no As String, musteri As String, yetkili As String</t>
        </is>
      </c>
      <c r="B485" s="67" t="n"/>
    </row>
    <row r="486">
      <c r="A486" s="80" t="inlineStr">
        <is>
          <t xml:space="preserve">    Dim govde As String, html As String, p As Long</t>
        </is>
      </c>
      <c r="B486" s="67" t="n"/>
    </row>
    <row r="487">
      <c r="A487" s="80" t="inlineStr"/>
      <c r="B487" s="67" t="n"/>
    </row>
    <row r="488">
      <c r="A488" s="80" t="inlineStr">
        <is>
          <t xml:space="preserve">    asama = "Teklif kontrol ediliyor"</t>
        </is>
      </c>
      <c r="B488" s="67" t="n"/>
    </row>
    <row r="489">
      <c r="A489" s="80" t="inlineStr">
        <is>
          <t xml:space="preserve">    Set ws = TeklifSayfasi</t>
        </is>
      </c>
      <c r="B489" s="67" t="n"/>
    </row>
    <row r="490">
      <c r="A490" s="80" t="inlineStr">
        <is>
          <t xml:space="preserve">    If Not GonderimOnayi("Outlook e-postası") Then Exit Sub</t>
        </is>
      </c>
      <c r="B490" s="67" t="n"/>
    </row>
    <row r="491">
      <c r="A491" s="80" t="inlineStr">
        <is>
          <t xml:space="preserve">    no = AktifTeklifNo()</t>
        </is>
      </c>
      <c r="B491" s="67" t="n"/>
    </row>
    <row r="492">
      <c r="A492" s="80" t="inlineStr">
        <is>
          <t xml:space="preserve">    musteri = Trim$(CStr(ws.Range("D3").Value))</t>
        </is>
      </c>
      <c r="B492" s="67" t="n"/>
    </row>
    <row r="493">
      <c r="A493" s="80" t="inlineStr">
        <is>
          <t xml:space="preserve">    yetkili = Trim$(CStr(ws.Range("D4").Value))</t>
        </is>
      </c>
      <c r="B493" s="67" t="n"/>
    </row>
    <row r="494">
      <c r="A494" s="80" t="inlineStr"/>
      <c r="B494" s="67" t="n"/>
    </row>
    <row r="495">
      <c r="A495" s="80" t="inlineStr">
        <is>
          <t xml:space="preserve">    asama = "A4 PDF oluşturuluyor"</t>
        </is>
      </c>
      <c r="B495" s="67" t="n"/>
    </row>
    <row r="496">
      <c r="A496" s="80" t="inlineStr">
        <is>
          <t xml:space="preserve">    tamYol = TeklifPDFOlustur(MasaustuPDFKlasoru())</t>
        </is>
      </c>
      <c r="B496" s="67" t="n"/>
    </row>
    <row r="497">
      <c r="A497" s="80" t="inlineStr"/>
      <c r="B497" s="67" t="n"/>
    </row>
    <row r="498">
      <c r="A498" s="80" t="inlineStr">
        <is>
          <t xml:space="preserve">    asama = "Klasik Outlook açılıyor"</t>
        </is>
      </c>
      <c r="B498" s="67" t="n"/>
    </row>
    <row r="499">
      <c r="A499" s="80" t="inlineStr">
        <is>
          <t xml:space="preserve">    On Error Resume Next</t>
        </is>
      </c>
      <c r="B499" s="67" t="n"/>
    </row>
    <row r="500">
      <c r="A500" s="80" t="inlineStr">
        <is>
          <t xml:space="preserve">    Set outlookApp = GetObject(, "Outlook.Application")</t>
        </is>
      </c>
      <c r="B500" s="67" t="n"/>
    </row>
    <row r="501">
      <c r="A501" s="80" t="inlineStr">
        <is>
          <t xml:space="preserve">    If outlookApp Is Nothing Then Set outlookApp = CreateObject("Outlook.Application")</t>
        </is>
      </c>
      <c r="B501" s="67" t="n"/>
    </row>
    <row r="502">
      <c r="A502" s="80" t="inlineStr">
        <is>
          <t xml:space="preserve">    On Error GoTo Hata</t>
        </is>
      </c>
      <c r="B502" s="67" t="n"/>
    </row>
    <row r="503">
      <c r="A503" s="80" t="inlineStr">
        <is>
          <t xml:space="preserve">    If outlookApp Is Nothing Then Err.Raise vbObjectError + 403, , "Klasik Outlook başlatılamadı. Yeni Outlook kullanıyorsanız Klasik Outlook'a geçin."</t>
        </is>
      </c>
      <c r="B503" s="67" t="n"/>
    </row>
    <row r="504">
      <c r="A504" s="80" t="inlineStr"/>
      <c r="B504" s="67" t="n"/>
    </row>
    <row r="505">
      <c r="A505" s="80" t="inlineStr">
        <is>
          <t xml:space="preserve">    asama = "Yeni e-posta hazırlanıyor"</t>
        </is>
      </c>
      <c r="B505" s="67" t="n"/>
    </row>
    <row r="506">
      <c r="A506" s="80" t="inlineStr">
        <is>
          <t xml:space="preserve">    Set posta = outlookApp.CreateItem(0)</t>
        </is>
      </c>
      <c r="B506" s="67" t="n"/>
    </row>
    <row r="507">
      <c r="A507" s="80" t="inlineStr">
        <is>
          <t xml:space="preserve">    If posta Is Nothing Then Err.Raise vbObjectError + 404, , "Yeni e-posta oluşturulamadı."</t>
        </is>
      </c>
      <c r="B507" s="67" t="n"/>
    </row>
    <row r="508">
      <c r="A508" s="80" t="inlineStr">
        <is>
          <t xml:space="preserve">    posta.To = MusteriBilgisi(musteri, "E-posta")</t>
        </is>
      </c>
      <c r="B508" s="67" t="n"/>
    </row>
    <row r="509">
      <c r="A509" s="80" t="inlineStr">
        <is>
          <t xml:space="preserve">    posta.Subject = "Teklif " &amp; no &amp; IIf(Len(musteri) &gt; 0, " - " &amp; musteri, "")</t>
        </is>
      </c>
      <c r="B509" s="67" t="n"/>
    </row>
    <row r="510">
      <c r="A510" s="80" t="inlineStr">
        <is>
          <t xml:space="preserve">    posta.Attachments.Add tamYol, 1</t>
        </is>
      </c>
      <c r="B510" s="67" t="n"/>
    </row>
    <row r="511">
      <c r="A511" s="80" t="inlineStr">
        <is>
          <t xml:space="preserve">    posta.Display</t>
        </is>
      </c>
      <c r="B511" s="67" t="n"/>
    </row>
    <row r="512">
      <c r="A512" s="80" t="inlineStr"/>
      <c r="B512" s="67" t="n"/>
    </row>
    <row r="513">
      <c r="A513" s="80" t="inlineStr">
        <is>
          <t xml:space="preserve">    ' Gövde, imza korunarak &lt;body&gt; etiketinin hemen arkasına eklenir.</t>
        </is>
      </c>
      <c r="B513" s="67" t="n"/>
    </row>
    <row r="514">
      <c r="A514" s="80" t="inlineStr">
        <is>
          <t xml:space="preserve">    govde = "&lt;p&gt;Sayın " &amp; HtmlKacis(IIf(Len(yetkili) &gt; 0, yetkili, "Yetkili")) &amp; ",&lt;/p&gt;" &amp; _</t>
        </is>
      </c>
      <c r="B514" s="67" t="n"/>
    </row>
    <row r="515">
      <c r="A515" s="80" t="inlineStr">
        <is>
          <t xml:space="preserve">        "&lt;p&gt;" &amp; HtmlKacis(no) &amp; " numaralı teklifimizi ekte bilgilerinize sunarız.&lt;/p&gt;" &amp; _</t>
        </is>
      </c>
      <c r="B515" s="67" t="n"/>
    </row>
    <row r="516">
      <c r="A516" s="80" t="inlineStr">
        <is>
          <t xml:space="preserve">        "&lt;p&gt;Genel toplam (KDV dahil): " &amp; Format$(Sayi(ws.Range("K33").Value), "#,##0.00") &amp; " TL"</t>
        </is>
      </c>
      <c r="B516" s="67" t="n"/>
    </row>
    <row r="517">
      <c r="A517" s="80" t="inlineStr">
        <is>
          <t xml:space="preserve">    If IsDate(ws.Range("J5").Value) Then govde = govde &amp; "&lt;br&gt;Geçerlilik tarihi: " &amp; Format$(ws.Range("J5").Value, "dd.mm.yyyy")</t>
        </is>
      </c>
      <c r="B517" s="67" t="n"/>
    </row>
    <row r="518">
      <c r="A518" s="80" t="inlineStr">
        <is>
          <t xml:space="preserve">    govde = govde &amp; "&lt;/p&gt;&lt;p&gt;Saygılarımızla,&lt;/p&gt;"</t>
        </is>
      </c>
      <c r="B518" s="67" t="n"/>
    </row>
    <row r="519">
      <c r="A519" s="80" t="inlineStr">
        <is>
          <t xml:space="preserve">    html = posta.HTMLBody</t>
        </is>
      </c>
      <c r="B519" s="67" t="n"/>
    </row>
    <row r="520">
      <c r="A520" s="80" t="inlineStr">
        <is>
          <t xml:space="preserve">    p = InStr(1, html, "&lt;body", vbTextCompare)</t>
        </is>
      </c>
      <c r="B520" s="67" t="n"/>
    </row>
    <row r="521">
      <c r="A521" s="80" t="inlineStr">
        <is>
          <t xml:space="preserve">    If p &gt; 0 Then p = InStr(p, html, "&gt;")</t>
        </is>
      </c>
      <c r="B521" s="67" t="n"/>
    </row>
    <row r="522">
      <c r="A522" s="80" t="inlineStr">
        <is>
          <t xml:space="preserve">    If p &gt; 0 Then</t>
        </is>
      </c>
      <c r="B522" s="67" t="n"/>
    </row>
    <row r="523">
      <c r="A523" s="80" t="inlineStr">
        <is>
          <t xml:space="preserve">        posta.HTMLBody = Left$(html, p) &amp; govde &amp; Mid$(html, p + 1)</t>
        </is>
      </c>
      <c r="B523" s="67" t="n"/>
    </row>
    <row r="524">
      <c r="A524" s="80" t="inlineStr">
        <is>
          <t xml:space="preserve">    Else</t>
        </is>
      </c>
      <c r="B524" s="67" t="n"/>
    </row>
    <row r="525">
      <c r="A525" s="80" t="inlineStr">
        <is>
          <t xml:space="preserve">        posta.HTMLBody = govde &amp; html</t>
        </is>
      </c>
      <c r="B525" s="67" t="n"/>
    </row>
    <row r="526">
      <c r="A526" s="80" t="inlineStr">
        <is>
          <t xml:space="preserve">    End If</t>
        </is>
      </c>
      <c r="B526" s="67" t="n"/>
    </row>
    <row r="527">
      <c r="A527" s="80" t="inlineStr"/>
      <c r="B527" s="67" t="n"/>
    </row>
    <row r="528">
      <c r="A528" s="80" t="inlineStr">
        <is>
          <t xml:space="preserve">    TeklifIslemLoguV2 "Outlook taslağı açıldı", no, "Başarılı", tamYol</t>
        </is>
      </c>
      <c r="B528" s="67" t="n"/>
    </row>
    <row r="529">
      <c r="A529" s="80" t="inlineStr">
        <is>
          <t xml:space="preserve">    On Error Resume Next</t>
        </is>
      </c>
      <c r="B529" s="67" t="n"/>
    </row>
    <row r="530">
      <c r="A530" s="80" t="inlineStr">
        <is>
          <t xml:space="preserve">    posta.GetInspector.Activate</t>
        </is>
      </c>
      <c r="B530" s="67" t="n"/>
    </row>
    <row r="531">
      <c r="A531" s="80" t="inlineStr">
        <is>
          <t xml:space="preserve">    Exit Sub</t>
        </is>
      </c>
      <c r="B531" s="67" t="n"/>
    </row>
    <row r="532">
      <c r="A532" s="80" t="inlineStr">
        <is>
          <t>Hata:</t>
        </is>
      </c>
      <c r="B532" s="67" t="n"/>
    </row>
    <row r="533">
      <c r="A533" s="80" t="inlineStr">
        <is>
          <t xml:space="preserve">    MsgBox "Outlook PDF işlemi tamamlanamadı." &amp; vbCrLf &amp; "Aşama: " &amp; asama &amp; vbCrLf &amp; _</t>
        </is>
      </c>
      <c r="B533" s="67" t="n"/>
    </row>
    <row r="534">
      <c r="A534" s="80" t="inlineStr">
        <is>
          <t xml:space="preserve">        "Hata " &amp; Err.Number &amp; ": " &amp; Err.Description, vbExclamation, "Outlook " &amp; SURUM</t>
        </is>
      </c>
      <c r="B534" s="67" t="n"/>
    </row>
    <row r="535">
      <c r="A535" s="80" t="inlineStr">
        <is>
          <t>End Sub</t>
        </is>
      </c>
      <c r="B535" s="67" t="n"/>
    </row>
    <row r="536">
      <c r="A536" s="80" t="inlineStr"/>
      <c r="B536" s="67" t="n"/>
    </row>
    <row r="537">
      <c r="A537" s="80" t="inlineStr">
        <is>
          <t>Private Function HtmlKacis(ByVal metin As String) As String</t>
        </is>
      </c>
      <c r="B537" s="67" t="n"/>
    </row>
    <row r="538">
      <c r="A538" s="80" t="inlineStr">
        <is>
          <t xml:space="preserve">    HtmlKacis = Replace(Replace(Replace(metin, "&amp;", "&amp;amp;"), "&lt;", "&amp;lt;"), "&gt;", "&amp;gt;")</t>
        </is>
      </c>
      <c r="B538" s="67" t="n"/>
    </row>
    <row r="539">
      <c r="A539" s="80" t="inlineStr">
        <is>
          <t>End Function</t>
        </is>
      </c>
      <c r="B539" s="67" t="n"/>
    </row>
    <row r="540">
      <c r="A540" s="80" t="inlineStr"/>
      <c r="B540" s="67" t="n"/>
    </row>
    <row r="541">
      <c r="A541" s="80" t="inlineStr">
        <is>
          <t>Public Sub OutlookDugmesiniBaglaV1()</t>
        </is>
      </c>
      <c r="B541" s="67" t="n"/>
    </row>
    <row r="542">
      <c r="A542" s="80" t="inlineStr">
        <is>
          <t xml:space="preserve">    On Error GoTo Hata</t>
        </is>
      </c>
      <c r="B542" s="67" t="n"/>
    </row>
    <row r="543">
      <c r="A543" s="80" t="inlineStr">
        <is>
          <t xml:space="preserve">    ThisWorkbook.Worksheets("Outlook E-posta").Shapes("Outlook PDF Düğmesi").OnAction = "'" &amp; ThisWorkbook.Name &amp; "'!TeklifiOutlookPDFTaslakV1"</t>
        </is>
      </c>
      <c r="B543" s="67" t="n"/>
    </row>
    <row r="544">
      <c r="A544" s="80" t="inlineStr">
        <is>
          <t xml:space="preserve">    MsgBox "Outlook PDF düğmesi hazır.", vbInformation</t>
        </is>
      </c>
      <c r="B544" s="67" t="n"/>
    </row>
    <row r="545">
      <c r="A545" s="80" t="inlineStr">
        <is>
          <t xml:space="preserve">    Exit Sub</t>
        </is>
      </c>
      <c r="B545" s="67" t="n"/>
    </row>
    <row r="546">
      <c r="A546" s="80" t="inlineStr">
        <is>
          <t>Hata:</t>
        </is>
      </c>
      <c r="B546" s="67" t="n"/>
    </row>
    <row r="547">
      <c r="A547" s="80" t="inlineStr">
        <is>
          <t xml:space="preserve">    MsgBox "Outlook düğmesi bağlanamadı: " &amp; Err.Description, vbExclamation</t>
        </is>
      </c>
      <c r="B547" s="67" t="n"/>
    </row>
    <row r="548">
      <c r="A548" s="80" t="inlineStr">
        <is>
          <t>End Sub</t>
        </is>
      </c>
      <c r="B548" s="67" t="n"/>
    </row>
    <row r="549">
      <c r="A549" s="80" t="inlineStr"/>
      <c r="B549" s="67" t="n"/>
    </row>
    <row r="550">
      <c r="A550" s="80" t="inlineStr">
        <is>
          <t>Public Sub OutlookPDFTestiV1()</t>
        </is>
      </c>
      <c r="B550" s="67" t="n"/>
    </row>
    <row r="551">
      <c r="A551" s="80" t="inlineStr">
        <is>
          <t xml:space="preserve">    TeklifiOutlookPDFTaslakV1</t>
        </is>
      </c>
      <c r="B551" s="67" t="n"/>
    </row>
    <row r="552">
      <c r="A552" s="80" t="inlineStr">
        <is>
          <t>End Sub</t>
        </is>
      </c>
      <c r="B552" s="67" t="n"/>
    </row>
    <row r="553">
      <c r="A553" s="80" t="inlineStr"/>
      <c r="B553" s="67" t="n"/>
    </row>
    <row r="554">
      <c r="A554" s="80" t="inlineStr">
        <is>
          <t>Rem ===== TEKLİF YÖNETİMİ =====</t>
        </is>
      </c>
      <c r="B554" s="67" t="n"/>
    </row>
    <row r="555">
      <c r="A555" s="80" t="inlineStr"/>
      <c r="B555" s="67" t="n"/>
    </row>
    <row r="556">
      <c r="A556" s="80" t="inlineStr">
        <is>
          <t>Private Function SiraNo(ByVal no As String, ByVal yilOnEki As String) As Long</t>
        </is>
      </c>
      <c r="B556" s="67" t="n"/>
    </row>
    <row r="557">
      <c r="A557" s="80" t="inlineStr">
        <is>
          <t xml:space="preserve">    Dim kalan As String</t>
        </is>
      </c>
      <c r="B557" s="67" t="n"/>
    </row>
    <row r="558">
      <c r="A558" s="80" t="inlineStr">
        <is>
          <t xml:space="preserve">    If Left$(no, Len(yilOnEki)) &lt;&gt; yilOnEki Then Exit Function</t>
        </is>
      </c>
      <c r="B558" s="67" t="n"/>
    </row>
    <row r="559">
      <c r="A559" s="80" t="inlineStr">
        <is>
          <t xml:space="preserve">    kalan = Mid$(no, Len(yilOnEki) + 1)</t>
        </is>
      </c>
      <c r="B559" s="67" t="n"/>
    </row>
    <row r="560">
      <c r="A560" s="80" t="inlineStr">
        <is>
          <t xml:space="preserve">    If Len(kalan) = 0 Or Len(kalan) &gt; 9 Or kalan Like "*[!0-9]*" Then Exit Function</t>
        </is>
      </c>
      <c r="B560" s="67" t="n"/>
    </row>
    <row r="561">
      <c r="A561" s="80" t="inlineStr">
        <is>
          <t xml:space="preserve">    SiraNo = CLng(kalan)</t>
        </is>
      </c>
      <c r="B561" s="67" t="n"/>
    </row>
    <row r="562">
      <c r="A562" s="80" t="inlineStr">
        <is>
          <t>End Function</t>
        </is>
      </c>
      <c r="B562" s="67" t="n"/>
    </row>
    <row r="563">
      <c r="A563" s="80" t="inlineStr"/>
      <c r="B563" s="67" t="n"/>
    </row>
    <row r="564">
      <c r="A564" s="80" t="inlineStr">
        <is>
          <t>' Sıra numarası her yıl 1'den başlar; Ayarlar!B6, form ve arşivdeki en büyük numaranın bir fazlası alınır.</t>
        </is>
      </c>
      <c r="B564" s="67" t="n"/>
    </row>
    <row r="565">
      <c r="A565" s="80" t="inlineStr">
        <is>
          <t>Public Function SonrakiTeklifNo() As String</t>
        </is>
      </c>
      <c r="B565" s="67" t="n"/>
    </row>
    <row r="566">
      <c r="A566" s="80" t="inlineStr">
        <is>
          <t xml:space="preserve">    Dim onEk As String, yilOnEki As String, enBuyuk As Long, n As Long, c As Range, t As ListObject</t>
        </is>
      </c>
      <c r="B566" s="67" t="n"/>
    </row>
    <row r="567">
      <c r="A567" s="80" t="inlineStr">
        <is>
          <t xml:space="preserve">    onEk = Trim$(CStr(AyarlarSayfasi.Range("B5").Value))</t>
        </is>
      </c>
      <c r="B567" s="67" t="n"/>
    </row>
    <row r="568">
      <c r="A568" s="80" t="inlineStr">
        <is>
          <t xml:space="preserve">    If Len(onEk) = 0 Then onEk = "TKL"</t>
        </is>
      </c>
      <c r="B568" s="67" t="n"/>
    </row>
    <row r="569">
      <c r="A569" s="73" t="inlineStr">
        <is>
          <t xml:space="preserve">    yilOnEki = onEk &amp; "-" &amp; Year(Date) &amp; "-"</t>
        </is>
      </c>
      <c r="B569" s="67" t="n"/>
    </row>
    <row r="570">
      <c r="A570" t="inlineStr">
        <is>
          <t xml:space="preserve">    ' B6 her zaman başlangıç; boş form / yıl değişiminde sıra kaybını önler.</t>
        </is>
      </c>
    </row>
    <row r="571">
      <c r="A571" s="181" t="inlineStr">
        <is>
          <t xml:space="preserve">    enBuyuk = CLng(Sayi(AyarlarSayfasi.Range("B6").Value))</t>
        </is>
      </c>
    </row>
    <row r="572">
      <c r="A572" s="181" t="inlineStr">
        <is>
          <t xml:space="preserve">    n = SiraNo(AktifTeklifNo(), yilOnEki)</t>
        </is>
      </c>
    </row>
    <row r="573">
      <c r="A573" s="181" t="inlineStr">
        <is>
          <t xml:space="preserve">    If n &gt; enBuyuk Then enBuyuk = n</t>
        </is>
      </c>
    </row>
    <row r="574">
      <c r="A574" s="220" t="inlineStr">
        <is>
          <t xml:space="preserve">    Set t = ArsivTablosu</t>
        </is>
      </c>
      <c r="B574" s="76" t="n"/>
    </row>
    <row r="575">
      <c r="A575" s="220" t="inlineStr">
        <is>
          <t xml:space="preserve">    If Not t.DataBodyRange Is Nothing Then</t>
        </is>
      </c>
      <c r="B575" s="76" t="n"/>
    </row>
    <row r="576">
      <c r="A576" s="220" t="inlineStr">
        <is>
          <t xml:space="preserve">        For Each c In t.ListColumns("Teklif No").DataBodyRange.Cells</t>
        </is>
      </c>
      <c r="B576" s="76" t="n"/>
    </row>
    <row r="577">
      <c r="A577" s="220" t="inlineStr">
        <is>
          <t xml:space="preserve">            n = SiraNo(CStr(c.Value), yilOnEki)</t>
        </is>
      </c>
      <c r="B577" s="76" t="n"/>
    </row>
    <row r="578">
      <c r="A578" t="inlineStr">
        <is>
          <t xml:space="preserve">            If n &gt; enBuyuk Then enBuyuk = n</t>
        </is>
      </c>
    </row>
    <row r="579">
      <c r="A579" t="inlineStr">
        <is>
          <t xml:space="preserve">        Next c</t>
        </is>
      </c>
    </row>
    <row r="580">
      <c r="A580" t="inlineStr">
        <is>
          <t xml:space="preserve">    End If</t>
        </is>
      </c>
    </row>
    <row r="581">
      <c r="A581" t="inlineStr">
        <is>
          <t xml:space="preserve">    Do</t>
        </is>
      </c>
    </row>
    <row r="582">
      <c r="A582" t="inlineStr">
        <is>
          <t xml:space="preserve">        enBuyuk = enBuyuk + 1</t>
        </is>
      </c>
    </row>
    <row r="583">
      <c r="A583" t="inlineStr">
        <is>
          <t xml:space="preserve">        SonrakiTeklifNo = yilOnEki &amp; Format$(enBuyuk, "0000")</t>
        </is>
      </c>
    </row>
    <row r="584">
      <c r="A584" t="inlineStr">
        <is>
          <t xml:space="preserve">    Loop While TeklifNoArsivdeVarV2(SonrakiTeklifNo)</t>
        </is>
      </c>
    </row>
    <row r="585">
      <c r="A585" t="inlineStr">
        <is>
          <t>End Function</t>
        </is>
      </c>
    </row>
    <row r="587">
      <c r="A587" t="inlineStr">
        <is>
          <t>Public Sub YeniTeklifV2()</t>
        </is>
      </c>
    </row>
    <row r="588">
      <c r="A588" t="inlineStr">
        <is>
          <t xml:space="preserve">    On Error GoTo Hata</t>
        </is>
      </c>
    </row>
    <row r="589">
      <c r="A589" t="inlineStr">
        <is>
          <t xml:space="preserve">    Dim f As Worksheet, a As Worksheet, no As String, eskiNo As String, cevap As VbMsgBoxResult, mesaj As String</t>
        </is>
      </c>
    </row>
    <row r="590">
      <c r="A590" t="inlineStr">
        <is>
          <t xml:space="preserve">    Set f = TeklifSayfasi</t>
        </is>
      </c>
    </row>
    <row r="591">
      <c r="A591" t="inlineStr">
        <is>
          <t xml:space="preserve">    Set a = AyarlarSayfasi</t>
        </is>
      </c>
    </row>
    <row r="592">
      <c r="A592" t="inlineStr">
        <is>
          <t xml:space="preserve">    eskiNo = AktifTeklifNo()</t>
        </is>
      </c>
    </row>
    <row r="594">
      <c r="A594" t="inlineStr">
        <is>
          <t xml:space="preserve">    If Len(eskiNo) &gt; 0 And Application.WorksheetFunction.CountA(f.Range("A8:A30")) &gt; 0 And Not TeklifNoArsivdeVarV2(eskiNo) Then</t>
        </is>
      </c>
    </row>
    <row r="595">
      <c r="A595" t="inlineStr">
        <is>
          <t xml:space="preserve">        cevap = MsgBox("Mevcut teklif (" &amp; eskiNo &amp; ") henüz arşivlenmedi ve yeni teklifte silinecek." &amp; vbCrLf &amp; vbCrLf &amp; _</t>
        </is>
      </c>
    </row>
    <row r="596">
      <c r="A596" t="inlineStr">
        <is>
          <t xml:space="preserve">            "Evet: Önce arşivle, sonra yeni teklif aç" &amp; vbCrLf &amp; "Hayır: Arşivlemeden yeni teklif aç" &amp; vbCrLf &amp; "İptal: Vazgeç", _</t>
        </is>
      </c>
    </row>
    <row r="597">
      <c r="A597" t="inlineStr">
        <is>
          <t xml:space="preserve">            vbYesNoCancel + vbQuestion, "Yeni Teklif " &amp; SURUM)</t>
        </is>
      </c>
    </row>
    <row r="598">
      <c r="A598" t="inlineStr">
        <is>
          <t xml:space="preserve">        If cevap = vbCancel Then Exit Sub</t>
        </is>
      </c>
    </row>
    <row r="599">
      <c r="A599" t="inlineStr">
        <is>
          <t xml:space="preserve">        If cevap = vbYes Then</t>
        </is>
      </c>
    </row>
    <row r="600">
      <c r="A600" t="inlineStr">
        <is>
          <t xml:space="preserve">            If Not TeklifiArsivleIc(mesaj) Then</t>
        </is>
      </c>
    </row>
    <row r="601">
      <c r="A601" t="inlineStr">
        <is>
          <t xml:space="preserve">                MsgBox "Arşivleme yapılamadı, yeni teklif açılmadı." &amp; vbCrLf &amp; mesaj, vbExclamation</t>
        </is>
      </c>
    </row>
    <row r="602">
      <c r="A602" t="inlineStr">
        <is>
          <t xml:space="preserve">                Exit Sub</t>
        </is>
      </c>
    </row>
    <row r="603">
      <c r="A603" t="inlineStr">
        <is>
          <t xml:space="preserve">            End If</t>
        </is>
      </c>
    </row>
    <row r="604">
      <c r="A604" t="inlineStr">
        <is>
          <t xml:space="preserve">        End If</t>
        </is>
      </c>
    </row>
    <row r="605">
      <c r="A605" t="inlineStr">
        <is>
          <t xml:space="preserve">    End If</t>
        </is>
      </c>
    </row>
    <row r="607">
      <c r="A607" t="inlineStr">
        <is>
          <t xml:space="preserve">    no = SonrakiTeklifNo()</t>
        </is>
      </c>
    </row>
    <row r="608">
      <c r="A608" t="inlineStr">
        <is>
          <t xml:space="preserve">    Application.EnableEvents = False</t>
        </is>
      </c>
    </row>
    <row r="609">
      <c r="A609" t="inlineStr">
        <is>
          <t xml:space="preserve">    f.Unprotect Password:=SIFRE</t>
        </is>
      </c>
    </row>
    <row r="610">
      <c r="A610" t="inlineStr">
        <is>
          <t xml:space="preserve">    a.Range("B6").Value = SiraNo(no, Left$(no, InStrRev(no, "-")))</t>
        </is>
      </c>
    </row>
    <row r="611">
      <c r="A611" t="inlineStr">
        <is>
          <t xml:space="preserve">    f.Range("J3").Value = no</t>
        </is>
      </c>
    </row>
    <row r="612">
      <c r="A612" t="inlineStr">
        <is>
          <t xml:space="preserve">    f.Range("J4").Value = Date</t>
        </is>
      </c>
    </row>
    <row r="613">
      <c r="A613" t="inlineStr">
        <is>
          <t xml:space="preserve">    f.Range("D3:G3").ClearContents</t>
        </is>
      </c>
    </row>
    <row r="614">
      <c r="A614" t="inlineStr">
        <is>
          <t xml:space="preserve">    f.Range("A8:A30,D8:E30").ClearContents</t>
        </is>
      </c>
    </row>
    <row r="615">
      <c r="A615" t="inlineStr">
        <is>
          <t xml:space="preserve">    f.Range("G8:G30").Value = a.Range("B8").Value</t>
        </is>
      </c>
    </row>
    <row r="616">
      <c r="A616" t="inlineStr">
        <is>
          <t xml:space="preserve">    f.Range("I8:I30").Value = "TRY"</t>
        </is>
      </c>
    </row>
    <row r="617">
      <c r="A617" t="inlineStr">
        <is>
          <t xml:space="preserve">    f.Range("A35").Value = "Teklife ilişkin açıklamalarınızı buraya yazınız."</t>
        </is>
      </c>
    </row>
    <row r="618">
      <c r="A618" t="inlineStr">
        <is>
          <t xml:space="preserve">    ThisWorkbook.Worksheets("Teklif Yönetimi").Range("G6").Value = "Taslak"</t>
        </is>
      </c>
    </row>
    <row r="619">
      <c r="A619" t="inlineStr">
        <is>
          <t xml:space="preserve">    SayfayiKoru f</t>
        </is>
      </c>
    </row>
    <row r="620">
      <c r="A620" t="inlineStr">
        <is>
          <t xml:space="preserve">    Application.EnableEvents = True</t>
        </is>
      </c>
    </row>
    <row r="621">
      <c r="A621" t="inlineStr">
        <is>
          <t xml:space="preserve">    TeklifIslemLoguV2 "Yeni teklif", no, "Başarılı", ""</t>
        </is>
      </c>
    </row>
    <row r="622">
      <c r="A622" t="inlineStr">
        <is>
          <t xml:space="preserve">    MsgBox "Yeni teklif hazır: " &amp; no, vbInformation, "Yeni Teklif " &amp; SURUM</t>
        </is>
      </c>
    </row>
    <row r="623">
      <c r="A623" t="inlineStr">
        <is>
          <t xml:space="preserve">    Exit Sub</t>
        </is>
      </c>
    </row>
    <row r="624">
      <c r="A624" t="inlineStr">
        <is>
          <t>Hata:</t>
        </is>
      </c>
    </row>
    <row r="625">
      <c r="A625" t="inlineStr">
        <is>
          <t xml:space="preserve">    Dim hataNo As Long, hataAciklama As String</t>
        </is>
      </c>
    </row>
    <row r="626">
      <c r="A626" t="inlineStr">
        <is>
          <t xml:space="preserve">    hataNo = Err.Number: hataAciklama = Err.Description</t>
        </is>
      </c>
    </row>
    <row r="627">
      <c r="A627" t="inlineStr">
        <is>
          <t xml:space="preserve">    On Error Resume Next</t>
        </is>
      </c>
    </row>
    <row r="628">
      <c r="A628" t="inlineStr">
        <is>
          <t xml:space="preserve">    Application.EnableEvents = True</t>
        </is>
      </c>
    </row>
    <row r="629">
      <c r="A629" t="inlineStr">
        <is>
          <t xml:space="preserve">    SayfayiKoru f</t>
        </is>
      </c>
    </row>
    <row r="630">
      <c r="A630" t="inlineStr">
        <is>
          <t xml:space="preserve">    MsgBox "Yeni teklif oluşturulamadı. Hata " &amp; hataNo &amp; ": " &amp; hataAciklama, vbExclamation</t>
        </is>
      </c>
    </row>
    <row r="631">
      <c r="A631" t="inlineStr">
        <is>
          <t>End Sub</t>
        </is>
      </c>
    </row>
    <row r="633">
      <c r="A633" t="inlineStr">
        <is>
          <t>Private Function TeklifiArsivleIc(ByRef mesaj As String) As Boolean</t>
        </is>
      </c>
    </row>
    <row r="634">
      <c r="A634" t="inlineStr">
        <is>
          <t xml:space="preserve">    On Error GoTo Hata</t>
        </is>
      </c>
    </row>
    <row r="635">
      <c r="A635" t="inlineStr">
        <is>
          <t xml:space="preserve">    Dim f As Worksheet, satir As Range, no As String, durum As String</t>
        </is>
      </c>
    </row>
    <row r="636">
      <c r="A636" t="inlineStr">
        <is>
          <t xml:space="preserve">    Set f = TeklifSayfasi</t>
        </is>
      </c>
    </row>
    <row r="637">
      <c r="A637" t="inlineStr">
        <is>
          <t xml:space="preserve">    no = AktifTeklifNo()</t>
        </is>
      </c>
    </row>
    <row r="638">
      <c r="A638" t="inlineStr">
        <is>
          <t xml:space="preserve">    If Len(no) = 0 Then Err.Raise vbObjectError + 501, , "Teklif numarası boş."</t>
        </is>
      </c>
    </row>
    <row r="639">
      <c r="A639" t="inlineStr">
        <is>
          <t xml:space="preserve">    If Len(Trim$(CStr(f.Range("D3").Value))) = 0 Then Err.Raise vbObjectError + 502, , "Müşteri bilgisi boş."</t>
        </is>
      </c>
    </row>
    <row r="640">
      <c r="A640" t="inlineStr">
        <is>
          <t xml:space="preserve">    If Application.WorksheetFunction.CountA(f.Range("A8:A30")) = 0 Then Err.Raise vbObjectError + 503, , "Teklif kalemi bulunmuyor."</t>
        </is>
      </c>
    </row>
    <row r="641">
      <c r="A641" t="inlineStr">
        <is>
          <t xml:space="preserve">    If TeklifNoArsivdeVarV2(no) Then Err.Raise vbObjectError + 504, , "Bu teklif numarası daha önce arşivlenmiş."</t>
        </is>
      </c>
    </row>
    <row r="642">
      <c r="A642" t="inlineStr">
        <is>
          <t xml:space="preserve">    durum = Trim$(CStr(ThisWorkbook.Worksheets("Teklif Yönetimi").Range("G6").Value))</t>
        </is>
      </c>
    </row>
    <row r="643">
      <c r="A643" t="inlineStr">
        <is>
          <t xml:space="preserve">    If Len(durum) = 0 Then durum = "Taslak"</t>
        </is>
      </c>
    </row>
    <row r="644">
      <c r="A644" t="inlineStr">
        <is>
          <t xml:space="preserve">    Set satir = TabloSatiriAl(ArsivTablosu)</t>
        </is>
      </c>
    </row>
    <row r="645">
      <c r="A645" t="inlineStr">
        <is>
          <t xml:space="preserve">    With satir</t>
        </is>
      </c>
    </row>
    <row r="646">
      <c r="A646" t="inlineStr">
        <is>
          <t xml:space="preserve">        .Cells(1, 1).Value = no</t>
        </is>
      </c>
    </row>
    <row r="647">
      <c r="A647" t="inlineStr">
        <is>
          <t xml:space="preserve">        .Cells(1, 2).Value = f.Range("J4").Value</t>
        </is>
      </c>
    </row>
    <row r="648">
      <c r="A648" t="inlineStr">
        <is>
          <t xml:space="preserve">        .Cells(1, 3).Value = f.Range("D3").Value</t>
        </is>
      </c>
    </row>
    <row r="649">
      <c r="A649" t="inlineStr">
        <is>
          <t xml:space="preserve">        .Cells(1, 4).Value = f.Range("K33").Value</t>
        </is>
      </c>
    </row>
    <row r="650">
      <c r="A650" t="inlineStr">
        <is>
          <t xml:space="preserve">        .Cells(1, 5).Value = durum</t>
        </is>
      </c>
    </row>
    <row r="651">
      <c r="A651" t="inlineStr">
        <is>
          <t xml:space="preserve">        .Cells(1, 6).Value = f.Range("J5").Value</t>
        </is>
      </c>
    </row>
    <row r="652">
      <c r="A652" t="inlineStr">
        <is>
          <t xml:space="preserve">        .Cells(1, 7).Value = Date + 7</t>
        </is>
      </c>
    </row>
    <row r="653">
      <c r="A653" t="inlineStr">
        <is>
          <t xml:space="preserve">        .Cells(1, 8).Value = 0.25</t>
        </is>
      </c>
    </row>
    <row r="654">
      <c r="A654" t="inlineStr">
        <is>
          <t xml:space="preserve">        .Cells(1, 9).Value = SonPDFYolu(no)</t>
        </is>
      </c>
    </row>
    <row r="655">
      <c r="A655" t="inlineStr">
        <is>
          <t xml:space="preserve">        .Cells(1, 10).Value = Application.UserName</t>
        </is>
      </c>
    </row>
    <row r="656">
      <c r="A656" t="inlineStr">
        <is>
          <t xml:space="preserve">        .Cells(1, 11).Value = f.Range("A35").Value</t>
        </is>
      </c>
    </row>
    <row r="657">
      <c r="A657" t="inlineStr">
        <is>
          <t xml:space="preserve">    End With</t>
        </is>
      </c>
    </row>
    <row r="658">
      <c r="A658" t="inlineStr">
        <is>
          <t xml:space="preserve">    TeklifIslemLoguV2 "Teklif arşivlendi", no, "Başarılı", CStr(satir.Cells(1, 9).Value)</t>
        </is>
      </c>
    </row>
    <row r="659">
      <c r="A659" t="inlineStr">
        <is>
          <t xml:space="preserve">    mesaj = "Teklif arşivlendi: " &amp; no</t>
        </is>
      </c>
    </row>
    <row r="660">
      <c r="A660" t="inlineStr">
        <is>
          <t xml:space="preserve">    TeklifiArsivleIc = True</t>
        </is>
      </c>
    </row>
    <row r="661">
      <c r="A661" t="inlineStr">
        <is>
          <t xml:space="preserve">    Exit Function</t>
        </is>
      </c>
    </row>
    <row r="662">
      <c r="A662" t="inlineStr">
        <is>
          <t>Hata:</t>
        </is>
      </c>
    </row>
    <row r="663">
      <c r="A663" t="inlineStr">
        <is>
          <t xml:space="preserve">    mesaj = "Hata " &amp; Err.Number &amp; ": " &amp; Err.Description</t>
        </is>
      </c>
    </row>
    <row r="664">
      <c r="A664" t="inlineStr">
        <is>
          <t>End Function</t>
        </is>
      </c>
    </row>
    <row r="666">
      <c r="A666" t="inlineStr">
        <is>
          <t>Public Sub TeklifiArsivleV2()</t>
        </is>
      </c>
    </row>
    <row r="667">
      <c r="A667" t="inlineStr">
        <is>
          <t xml:space="preserve">    Dim mesaj As String</t>
        </is>
      </c>
    </row>
    <row r="668">
      <c r="A668" t="inlineStr">
        <is>
          <t xml:space="preserve">    If TeklifiArsivleIc(mesaj) Then</t>
        </is>
      </c>
    </row>
    <row r="669">
      <c r="A669" t="inlineStr">
        <is>
          <t xml:space="preserve">        MsgBox mesaj, vbInformation, "Arşiv " &amp; SURUM</t>
        </is>
      </c>
    </row>
    <row r="670">
      <c r="A670" t="inlineStr">
        <is>
          <t xml:space="preserve">    Else</t>
        </is>
      </c>
    </row>
    <row r="671">
      <c r="A671" t="inlineStr">
        <is>
          <t xml:space="preserve">        MsgBox "Teklif arşivlenemedi." &amp; vbCrLf &amp; mesaj, vbExclamation, "Arşiv " &amp; SURUM</t>
        </is>
      </c>
    </row>
    <row r="672">
      <c r="A672" t="inlineStr">
        <is>
          <t xml:space="preserve">    End If</t>
        </is>
      </c>
    </row>
    <row r="673">
      <c r="A673" t="inlineStr">
        <is>
          <t>End Sub</t>
        </is>
      </c>
    </row>
    <row r="675">
      <c r="A675" t="inlineStr">
        <is>
          <t>Private Function SonPDFYolu(ByVal no As String) As String</t>
        </is>
      </c>
    </row>
    <row r="676">
      <c r="A676" t="inlineStr">
        <is>
          <t xml:space="preserve">    Dim t As ListObject, i As Long</t>
        </is>
      </c>
    </row>
    <row r="677">
      <c r="A677" t="inlineStr">
        <is>
          <t xml:space="preserve">    On Error GoTo Son</t>
        </is>
      </c>
    </row>
    <row r="678">
      <c r="A678" t="inlineStr">
        <is>
          <t xml:space="preserve">    Set t = GunlukTablosu</t>
        </is>
      </c>
    </row>
    <row r="679">
      <c r="A679" t="inlineStr">
        <is>
          <t xml:space="preserve">    If t.DataBodyRange Is Nothing Then Exit Function</t>
        </is>
      </c>
    </row>
    <row r="680">
      <c r="A680" t="inlineStr">
        <is>
          <t xml:space="preserve">    For i = t.ListRows.Count To 1 Step -1</t>
        </is>
      </c>
    </row>
    <row r="681">
      <c r="A681" t="inlineStr">
        <is>
          <t xml:space="preserve">        If CStr(t.DataBodyRange.Cells(i, 3).Value) = no And LCase$(Right$(CStr(t.DataBodyRange.Cells(i, 5).Value), 4)) = ".pdf" Then</t>
        </is>
      </c>
    </row>
    <row r="682">
      <c r="A682" t="inlineStr">
        <is>
          <t xml:space="preserve">            SonPDFYolu = CStr(t.DataBodyRange.Cells(i, 5).Value)</t>
        </is>
      </c>
    </row>
    <row r="683">
      <c r="A683" t="inlineStr">
        <is>
          <t xml:space="preserve">            Exit Function</t>
        </is>
      </c>
    </row>
    <row r="684">
      <c r="A684" t="inlineStr">
        <is>
          <t xml:space="preserve">        End If</t>
        </is>
      </c>
    </row>
    <row r="685">
      <c r="A685" t="inlineStr">
        <is>
          <t xml:space="preserve">    Next i</t>
        </is>
      </c>
    </row>
    <row r="686">
      <c r="A686" t="inlineStr">
        <is>
          <t>Son:</t>
        </is>
      </c>
    </row>
    <row r="687">
      <c r="A687" t="inlineStr">
        <is>
          <t>End Function</t>
        </is>
      </c>
    </row>
    <row r="689">
      <c r="A689" t="inlineStr">
        <is>
          <t>' Fatura değerlerle sabitlenir: sonraki kur güncellemeleri kesilmiş faturanın tutarını değiştirmez.</t>
        </is>
      </c>
    </row>
    <row r="690">
      <c r="A690" t="inlineStr">
        <is>
          <t>Public Function FaturayaAktarIc(ByVal kullaniciyaSor As Boolean, ByVal gunlugeYaz As Boolean) As String</t>
        </is>
      </c>
    </row>
    <row r="691">
      <c r="A691" t="inlineStr">
        <is>
          <t xml:space="preserve">    Dim kaynak As Worksheet, hedef As Worksheet, no As String, i As Long, shp As Shape</t>
        </is>
      </c>
    </row>
    <row r="692">
      <c r="A692" t="inlineStr">
        <is>
          <t xml:space="preserve">    Set kaynak = TeklifSayfasi</t>
        </is>
      </c>
    </row>
    <row r="693">
      <c r="A693" t="inlineStr">
        <is>
          <t xml:space="preserve">    Set hedef = ThisWorkbook.Worksheets("Fatura")</t>
        </is>
      </c>
    </row>
    <row r="694">
      <c r="A694" t="inlineStr">
        <is>
          <t xml:space="preserve">    no = AktifTeklifNo()</t>
        </is>
      </c>
    </row>
    <row r="695">
      <c r="A695" t="inlineStr">
        <is>
          <t xml:space="preserve">    If Application.WorksheetFunction.CountA(kaynak.Range("A8:A30")) = 0 Then Err.Raise vbObjectError + 601, , "Teklifte ürün kalemi yok."</t>
        </is>
      </c>
    </row>
    <row r="696">
      <c r="A696" t="inlineStr">
        <is>
          <t xml:space="preserve">    If kullaniciyaSor And Len(Trim$(CStr(hedef.Range("J3").Value))) &gt; 0 Then</t>
        </is>
      </c>
    </row>
    <row r="697">
      <c r="A697" t="inlineStr">
        <is>
          <t xml:space="preserve">        If MsgBox("Fatura sayfasındaki mevcut taslak (" &amp; hedef.Range("J3").Value &amp; ") silinip yerine " &amp; no &amp; " aktarılacak. Devam edilsin mi?", _</t>
        </is>
      </c>
    </row>
    <row r="698">
      <c r="A698" t="inlineStr">
        <is>
          <t xml:space="preserve">            vbYesNo + vbQuestion, "Faturaya Aktar " &amp; SURUM) &lt;&gt; vbYes Then Exit Function</t>
        </is>
      </c>
    </row>
    <row r="699">
      <c r="A699" t="inlineStr">
        <is>
          <t xml:space="preserve">    End If</t>
        </is>
      </c>
    </row>
    <row r="701">
      <c r="A701" t="inlineStr">
        <is>
          <t xml:space="preserve">    Application.ScreenUpdating = False</t>
        </is>
      </c>
    </row>
    <row r="702">
      <c r="A702" t="inlineStr">
        <is>
          <t xml:space="preserve">    On Error GoTo Temizle</t>
        </is>
      </c>
    </row>
    <row r="703">
      <c r="A703" t="inlineStr">
        <is>
          <t xml:space="preserve">    hedef.Unprotect Password:=SIFRE</t>
        </is>
      </c>
    </row>
    <row r="704">
      <c r="A704" t="inlineStr">
        <is>
          <t xml:space="preserve">    For i = hedef.Shapes.Count To 1 Step -1</t>
        </is>
      </c>
    </row>
    <row r="705">
      <c r="A705" t="inlineStr">
        <is>
          <t xml:space="preserve">        Set shp = hedef.Shapes(i)</t>
        </is>
      </c>
    </row>
    <row r="706">
      <c r="A706" t="inlineStr">
        <is>
          <t xml:space="preserve">        If Not Intersect(shp.TopLeftCell, hedef.Range("A1:K40")) Is Nothing Then shp.Delete</t>
        </is>
      </c>
    </row>
    <row r="707">
      <c r="A707" t="inlineStr">
        <is>
          <t xml:space="preserve">    Next i</t>
        </is>
      </c>
    </row>
    <row r="708">
      <c r="A708" t="inlineStr">
        <is>
          <t xml:space="preserve">    hedef.Range("A1:K40").UnMerge</t>
        </is>
      </c>
    </row>
    <row r="709">
      <c r="A709" t="inlineStr">
        <is>
          <t xml:space="preserve">    hedef.Range("A1:K40").Clear</t>
        </is>
      </c>
    </row>
    <row r="710">
      <c r="A710" t="inlineStr">
        <is>
          <t xml:space="preserve">    kaynak.Range("A1:K40").Copy</t>
        </is>
      </c>
    </row>
    <row r="711">
      <c r="A711" t="inlineStr">
        <is>
          <t xml:space="preserve">    hedef.Range("A1").PasteSpecial xlPasteAll</t>
        </is>
      </c>
    </row>
    <row r="712">
      <c r="A712" t="inlineStr">
        <is>
          <t xml:space="preserve">    Application.CutCopyMode = False</t>
        </is>
      </c>
    </row>
    <row r="713">
      <c r="A713" t="inlineStr">
        <is>
          <t xml:space="preserve">    hedef.Range("A1:K40").Value = hedef.Range("A1:K40").Value</t>
        </is>
      </c>
    </row>
    <row r="714">
      <c r="A714" t="inlineStr">
        <is>
          <t xml:space="preserve">    On Error Resume Next</t>
        </is>
      </c>
    </row>
    <row r="715">
      <c r="A715" t="inlineStr">
        <is>
          <t xml:space="preserve">    hedef.Range("A1:K40").Validation.Delete</t>
        </is>
      </c>
    </row>
    <row r="716">
      <c r="A716" t="inlineStr">
        <is>
          <t xml:space="preserve">    On Error GoTo Temizle</t>
        </is>
      </c>
    </row>
    <row r="717">
      <c r="A717" t="inlineStr">
        <is>
          <t xml:space="preserve">    GorselleriKopyala kaynak, hedef</t>
        </is>
      </c>
    </row>
    <row r="718">
      <c r="A718" t="inlineStr">
        <is>
          <t xml:space="preserve">    hedef.Range("B1").Value = "FATURA TASLAĞI"</t>
        </is>
      </c>
    </row>
    <row r="719">
      <c r="A719" t="inlineStr">
        <is>
          <t xml:space="preserve">    hedef.Range("H3").Value = "Fatura No"</t>
        </is>
      </c>
    </row>
    <row r="720">
      <c r="A720" t="inlineStr">
        <is>
          <t xml:space="preserve">    hedef.Range("J3").Value = Replace(no, AyarlarSayfasi.Range("B5").Value &amp; "-", "FTR-", , 1)</t>
        </is>
      </c>
    </row>
    <row r="721">
      <c r="A721" t="inlineStr">
        <is>
          <t xml:space="preserve">    hedef.Range("J4").Value = Date</t>
        </is>
      </c>
    </row>
    <row r="722">
      <c r="A722" t="inlineStr">
        <is>
          <t xml:space="preserve">    hedef.Range("A6").Value = "FATURA KALEMLERİ"</t>
        </is>
      </c>
    </row>
    <row r="723">
      <c r="A723" t="inlineStr">
        <is>
          <t xml:space="preserve">    SayfaDuzeniAyarla hedef</t>
        </is>
      </c>
    </row>
    <row r="724">
      <c r="A724" t="inlineStr">
        <is>
          <t xml:space="preserve">    Application.ScreenUpdating = True</t>
        </is>
      </c>
    </row>
    <row r="725">
      <c r="A725" t="inlineStr">
        <is>
          <t xml:space="preserve">    If gunlugeYaz Then TeklifIslemLoguV2 "Faturaya aktarıldı", no, "Başarılı", ""</t>
        </is>
      </c>
    </row>
    <row r="726">
      <c r="A726" t="inlineStr">
        <is>
          <t xml:space="preserve">    FaturayaAktarIc = CStr(hedef.Range("J3").Value)</t>
        </is>
      </c>
    </row>
    <row r="727">
      <c r="A727" t="inlineStr">
        <is>
          <t xml:space="preserve">    Exit Function</t>
        </is>
      </c>
    </row>
    <row r="728">
      <c r="A728" t="inlineStr">
        <is>
          <t>Temizle:</t>
        </is>
      </c>
    </row>
    <row r="729">
      <c r="A729" t="inlineStr">
        <is>
          <t xml:space="preserve">    Application.CutCopyMode = False</t>
        </is>
      </c>
    </row>
    <row r="730">
      <c r="A730" t="inlineStr">
        <is>
          <t xml:space="preserve">    Application.ScreenUpdating = True</t>
        </is>
      </c>
    </row>
    <row r="731">
      <c r="A731" t="inlineStr">
        <is>
          <t xml:space="preserve">    Err.Raise Err.Number, Err.Source, Err.Description</t>
        </is>
      </c>
    </row>
    <row r="732">
      <c r="A732" t="inlineStr">
        <is>
          <t>End Function</t>
        </is>
      </c>
    </row>
    <row r="734">
      <c r="A734" t="inlineStr">
        <is>
          <t>' PasteSpecial şekilleri taşımaz; logo ve kaşe/imza görselleri ayrıca aynı konuma kopyalanır.</t>
        </is>
      </c>
    </row>
    <row r="735">
      <c r="A735" t="inlineStr">
        <is>
          <t>Private Sub GorselleriKopyala(ByVal kaynak As Worksheet, ByVal hedef As Worksheet)</t>
        </is>
      </c>
    </row>
    <row r="736">
      <c r="A736" t="inlineStr">
        <is>
          <t xml:space="preserve">    Dim shp As Shape, yeni As Shape</t>
        </is>
      </c>
    </row>
    <row r="737">
      <c r="A737" t="inlineStr">
        <is>
          <t xml:space="preserve">    For Each shp In kaynak.Shapes</t>
        </is>
      </c>
    </row>
    <row r="738">
      <c r="A738" t="inlineStr">
        <is>
          <t xml:space="preserve">        If shp.Type = msoPicture Then</t>
        </is>
      </c>
    </row>
    <row r="739">
      <c r="A739" t="inlineStr">
        <is>
          <t xml:space="preserve">            If Not Intersect(shp.TopLeftCell, kaynak.Range("A1:K40")) Is Nothing Then</t>
        </is>
      </c>
    </row>
    <row r="740">
      <c r="A740" t="inlineStr">
        <is>
          <t xml:space="preserve">                shp.Copy</t>
        </is>
      </c>
    </row>
    <row r="741">
      <c r="A741" t="inlineStr">
        <is>
          <t xml:space="preserve">                hedef.Paste Destination:=hedef.Range(shp.TopLeftCell.Address)</t>
        </is>
      </c>
    </row>
    <row r="742">
      <c r="A742" t="inlineStr">
        <is>
          <t xml:space="preserve">                Set yeni = hedef.Shapes(hedef.Shapes.Count)</t>
        </is>
      </c>
    </row>
    <row r="743">
      <c r="A743" t="inlineStr">
        <is>
          <t xml:space="preserve">                yeni.Width = shp.Width</t>
        </is>
      </c>
    </row>
    <row r="744">
      <c r="A744" t="inlineStr">
        <is>
          <t xml:space="preserve">                yeni.Height = shp.Height</t>
        </is>
      </c>
    </row>
    <row r="745">
      <c r="A745" t="inlineStr">
        <is>
          <t xml:space="preserve">                yeni.Left = hedef.Range(shp.TopLeftCell.Address).Left + (shp.Left - shp.TopLeftCell.Left)</t>
        </is>
      </c>
    </row>
    <row r="746">
      <c r="A746" t="inlineStr">
        <is>
          <t xml:space="preserve">                yeni.Top = hedef.Range(shp.TopLeftCell.Address).Top + (shp.Top - shp.TopLeftCell.Top)</t>
        </is>
      </c>
    </row>
    <row r="747">
      <c r="A747" t="inlineStr">
        <is>
          <t xml:space="preserve">                yeni.Name = shp.Name</t>
        </is>
      </c>
    </row>
    <row r="748">
      <c r="A748" t="inlineStr">
        <is>
          <t xml:space="preserve">            End If</t>
        </is>
      </c>
    </row>
    <row r="749">
      <c r="A749" t="inlineStr">
        <is>
          <t xml:space="preserve">        End If</t>
        </is>
      </c>
    </row>
    <row r="750">
      <c r="A750" t="inlineStr">
        <is>
          <t xml:space="preserve">    Next shp</t>
        </is>
      </c>
    </row>
    <row r="751">
      <c r="A751" t="inlineStr">
        <is>
          <t xml:space="preserve">    Application.CutCopyMode = False</t>
        </is>
      </c>
    </row>
    <row r="752">
      <c r="A752" t="inlineStr">
        <is>
          <t>End Sub</t>
        </is>
      </c>
    </row>
    <row r="754">
      <c r="A754" t="inlineStr">
        <is>
          <t>Public Sub TeklifiFaturayaAktarV2()</t>
        </is>
      </c>
    </row>
    <row r="755">
      <c r="A755" t="inlineStr">
        <is>
          <t xml:space="preserve">    On Error GoTo Hata</t>
        </is>
      </c>
    </row>
    <row r="756">
      <c r="A756" t="inlineStr">
        <is>
          <t xml:space="preserve">    Dim faturaNo As String</t>
        </is>
      </c>
    </row>
    <row r="757">
      <c r="A757" t="inlineStr">
        <is>
          <t xml:space="preserve">    faturaNo = FaturayaAktarIc(True, True)</t>
        </is>
      </c>
    </row>
    <row r="758">
      <c r="A758" t="inlineStr">
        <is>
          <t xml:space="preserve">    If Len(faturaNo) = 0 Then Exit Sub</t>
        </is>
      </c>
    </row>
    <row r="759">
      <c r="A759" t="inlineStr">
        <is>
          <t xml:space="preserve">    ThisWorkbook.Worksheets("Fatura").Activate</t>
        </is>
      </c>
    </row>
    <row r="760">
      <c r="A760" t="inlineStr">
        <is>
          <t xml:space="preserve">    MsgBox "Teklif fatura taslağına aktarıldı: " &amp; faturaNo &amp; vbCrLf &amp; "Tutarlar sabitlendi; kur değişiklikleri faturayı etkilemez.", vbInformation, "Fatura " &amp; SURUM</t>
        </is>
      </c>
    </row>
    <row r="761">
      <c r="A761" t="inlineStr">
        <is>
          <t xml:space="preserve">    Exit Sub</t>
        </is>
      </c>
    </row>
    <row r="762">
      <c r="A762" t="inlineStr">
        <is>
          <t>Hata:</t>
        </is>
      </c>
    </row>
    <row r="763">
      <c r="A763" t="inlineStr">
        <is>
          <t xml:space="preserve">    Application.CutCopyMode = False</t>
        </is>
      </c>
    </row>
    <row r="764">
      <c r="A764" t="inlineStr">
        <is>
          <t xml:space="preserve">    Application.ScreenUpdating = True</t>
        </is>
      </c>
    </row>
    <row r="765">
      <c r="A765" t="inlineStr">
        <is>
          <t xml:space="preserve">    MsgBox "Faturaya aktarma başarısız. Hata " &amp; Err.Number &amp; ": " &amp; Err.Description, vbExclamation</t>
        </is>
      </c>
    </row>
    <row r="766">
      <c r="A766" t="inlineStr">
        <is>
          <t>End Sub</t>
        </is>
      </c>
    </row>
    <row r="768">
      <c r="A768" t="inlineStr">
        <is>
          <t>Private Sub DugmeleriBagla()</t>
        </is>
      </c>
    </row>
    <row r="769">
      <c r="A769" t="inlineStr">
        <is>
          <t xml:space="preserve">    Dim ws As Worksheet, kitap As String, durum As String</t>
        </is>
      </c>
    </row>
    <row r="770">
      <c r="A770" t="inlineStr">
        <is>
          <t xml:space="preserve">    Set ws = ThisWorkbook.Worksheets("Teklif Yönetimi")</t>
        </is>
      </c>
    </row>
    <row r="771">
      <c r="A771" t="inlineStr">
        <is>
          <t xml:space="preserve">    kitap = "'" &amp; ThisWorkbook.Name &amp; "'!"</t>
        </is>
      </c>
    </row>
    <row r="772">
      <c r="A772" t="inlineStr">
        <is>
          <t xml:space="preserve">    DugmeyiBagla ws, "Yeni Teklif Düğmesi", kitap &amp; "YeniTeklifV2"</t>
        </is>
      </c>
    </row>
    <row r="773">
      <c r="A773" t="inlineStr">
        <is>
          <t xml:space="preserve">    DugmeyiBagla ws, "Arşivle Düğmesi", kitap &amp; "TeklifiArsivleV2"</t>
        </is>
      </c>
    </row>
    <row r="774">
      <c r="A774" t="inlineStr">
        <is>
          <t xml:space="preserve">    DugmeyiBagla ws, "Faturaya Aktar Düğmesi", kitap &amp; "TeklifiFaturayaAktarV2"</t>
        </is>
      </c>
    </row>
    <row r="775">
      <c r="A775" t="inlineStr">
        <is>
          <t xml:space="preserve">    DugmeyiBagla ws, "Yönetim PDF Düğmesi", kitap &amp; "TeklifiMasaustunePDFKaydetV2"</t>
        </is>
      </c>
    </row>
    <row r="776">
      <c r="A776" t="inlineStr">
        <is>
          <t xml:space="preserve">    DugmeyiBagla ws, "Yönetim Outlook Düğmesi", kitap &amp; "TeklifiOutlookPDFTaslakV1"</t>
        </is>
      </c>
    </row>
    <row r="777">
      <c r="A777" t="inlineStr">
        <is>
          <t xml:space="preserve">    DugmeyiBagla ws, "Formülleri Koru Düğmesi", kitap &amp; "TeklifSayfasiniKoruV2"</t>
        </is>
      </c>
    </row>
    <row r="778">
      <c r="A778" t="inlineStr">
        <is>
          <t xml:space="preserve">    durum = "Sistem kontrolü: 6 yönetim düğmesi bağlı ve hazır (" &amp; SURUM &amp; ")"</t>
        </is>
      </c>
    </row>
    <row r="779">
      <c r="A779" t="inlineStr">
        <is>
          <t xml:space="preserve">    If CStr(ws.Range("A8").Value) &lt;&gt; durum Then ws.Range("A8").Value = durum</t>
        </is>
      </c>
    </row>
    <row r="780">
      <c r="A780" t="inlineStr">
        <is>
          <t>End Sub</t>
        </is>
      </c>
    </row>
    <row r="782">
      <c r="A782" t="inlineStr">
        <is>
          <t>' Yalnızca farklıysa yazılır; aksi halde her açılışta kitap "değişti" sayılırdı.</t>
        </is>
      </c>
    </row>
    <row r="783">
      <c r="A783" t="inlineStr">
        <is>
          <t>Private Sub DugmeyiBagla(ByVal ws As Worksheet, ByVal dugme As String, ByVal makro As String)</t>
        </is>
      </c>
    </row>
    <row r="784">
      <c r="A784" t="inlineStr">
        <is>
          <t xml:space="preserve">    With ws.Shapes(dugme)</t>
        </is>
      </c>
    </row>
    <row r="785">
      <c r="A785" t="inlineStr">
        <is>
          <t xml:space="preserve">        If .OnAction &lt;&gt; makro Then .OnAction = makro</t>
        </is>
      </c>
    </row>
    <row r="786">
      <c r="A786" t="inlineStr">
        <is>
          <t xml:space="preserve">    End With</t>
        </is>
      </c>
    </row>
    <row r="787">
      <c r="A787" t="inlineStr">
        <is>
          <t>End Sub</t>
        </is>
      </c>
    </row>
    <row r="789">
      <c r="A789" t="inlineStr">
        <is>
          <t>Public Sub YonetimDugmeleriniBaglaV2()</t>
        </is>
      </c>
    </row>
    <row r="790">
      <c r="A790" t="inlineStr">
        <is>
          <t xml:space="preserve">    On Error GoTo Hata</t>
        </is>
      </c>
    </row>
    <row r="791">
      <c r="A791" t="inlineStr">
        <is>
          <t xml:space="preserve">    DugmeleriBagla</t>
        </is>
      </c>
    </row>
    <row r="792">
      <c r="A792" t="inlineStr">
        <is>
          <t xml:space="preserve">    Exit Sub</t>
        </is>
      </c>
    </row>
    <row r="793">
      <c r="A793" t="inlineStr">
        <is>
          <t>Hata:</t>
        </is>
      </c>
    </row>
    <row r="794">
      <c r="A794" t="inlineStr">
        <is>
          <t xml:space="preserve">    MsgBox "Yönetim düğmeleri bağlanamadı: " &amp; Err.Description, vbExclamation</t>
        </is>
      </c>
    </row>
    <row r="795">
      <c r="A795" t="inlineStr">
        <is>
          <t>End Sub</t>
        </is>
      </c>
    </row>
    <row r="797">
      <c r="A797" t="inlineStr">
        <is>
          <t>Public Sub AcilisIslemleri()</t>
        </is>
      </c>
    </row>
    <row r="798">
      <c r="A798" t="inlineStr">
        <is>
          <t xml:space="preserve">    On Error Resume Next</t>
        </is>
      </c>
    </row>
    <row r="799">
      <c r="A799" t="inlineStr">
        <is>
          <t xml:space="preserve">    SayfayiKoru TeklifSayfasi</t>
        </is>
      </c>
    </row>
    <row r="800">
      <c r="A800" t="inlineStr">
        <is>
          <t xml:space="preserve">    DugmeleriBagla</t>
        </is>
      </c>
    </row>
    <row r="801">
      <c r="A801" t="inlineStr">
        <is>
          <t xml:space="preserve">    Application.OnTime Now + TimeSerial(0, 0, 2), "'" &amp; ThisWorkbook.Name &amp; "'!KurlariSessizGuncelle"</t>
        </is>
      </c>
    </row>
    <row r="802">
      <c r="A802" t="inlineStr">
        <is>
          <t>End Sub</t>
        </is>
      </c>
    </row>
    <row r="804">
      <c r="A804" t="inlineStr">
        <is>
          <t>Public Sub TeklifSayfasiniKoruV2()</t>
        </is>
      </c>
    </row>
    <row r="805">
      <c r="A805" t="inlineStr">
        <is>
          <t xml:space="preserve">    On Error GoTo Hata</t>
        </is>
      </c>
    </row>
    <row r="806">
      <c r="A806" t="inlineStr">
        <is>
          <t xml:space="preserve">    Dim ws As Worksheet</t>
        </is>
      </c>
    </row>
    <row r="807">
      <c r="A807" t="inlineStr">
        <is>
          <t xml:space="preserve">    Set ws = TeklifSayfasi</t>
        </is>
      </c>
    </row>
    <row r="808">
      <c r="A808" t="inlineStr">
        <is>
          <t xml:space="preserve">    ws.Unprotect Password:=SIFRE</t>
        </is>
      </c>
    </row>
    <row r="809">
      <c r="A809" t="inlineStr">
        <is>
          <t xml:space="preserve">    ws.Cells.Locked = True</t>
        </is>
      </c>
    </row>
    <row r="810">
      <c r="A810" t="inlineStr">
        <is>
          <t xml:space="preserve">    ws.Range("D3:G3,J3:K4,A8:A30,D8:E30,G8:G30,I8:I30,A35:F39").Locked = False</t>
        </is>
      </c>
    </row>
    <row r="811">
      <c r="A811" t="inlineStr">
        <is>
          <t xml:space="preserve">    SayfayiKoru ws</t>
        </is>
      </c>
    </row>
    <row r="812">
      <c r="A812" t="inlineStr">
        <is>
          <t xml:space="preserve">    ws.EnableSelection = xlUnlockedCells</t>
        </is>
      </c>
    </row>
    <row r="813">
      <c r="A813" t="inlineStr">
        <is>
          <t xml:space="preserve">    MsgBox "Formüller korundu; giriş hücreleri açık.", vbInformation</t>
        </is>
      </c>
    </row>
    <row r="814">
      <c r="A814" t="inlineStr">
        <is>
          <t xml:space="preserve">    Exit Sub</t>
        </is>
      </c>
    </row>
    <row r="815">
      <c r="A815" t="inlineStr">
        <is>
          <t>Hata:</t>
        </is>
      </c>
    </row>
    <row r="816">
      <c r="A816" t="inlineStr">
        <is>
          <t xml:space="preserve">    MsgBox "Sayfa koruması uygulanamadı: " &amp; Err.Description, vbExclamation</t>
        </is>
      </c>
    </row>
    <row r="817">
      <c r="A817" t="inlineStr">
        <is>
          <t>End Sub</t>
        </is>
      </c>
    </row>
    <row r="819">
      <c r="A819" t="inlineStr">
        <is>
          <t>Public Sub TeklifSayfasiKorumasiniKaldirV2()</t>
        </is>
      </c>
    </row>
    <row r="820">
      <c r="A820" t="inlineStr">
        <is>
          <t xml:space="preserve">    On Error GoTo Hata</t>
        </is>
      </c>
    </row>
    <row r="821">
      <c r="A821" t="inlineStr">
        <is>
          <t xml:space="preserve">    TeklifSayfasi.Unprotect Password:=SIFRE</t>
        </is>
      </c>
    </row>
    <row r="822">
      <c r="A822" t="inlineStr">
        <is>
          <t xml:space="preserve">    MsgBox "Teklif Formu koruması kaldırıldı.", vbInformation</t>
        </is>
      </c>
    </row>
    <row r="823">
      <c r="A823" t="inlineStr">
        <is>
          <t xml:space="preserve">    Exit Sub</t>
        </is>
      </c>
    </row>
    <row r="824">
      <c r="A824" t="inlineStr">
        <is>
          <t>Hata:</t>
        </is>
      </c>
    </row>
    <row r="825">
      <c r="A825" t="inlineStr">
        <is>
          <t xml:space="preserve">    MsgBox "Koruma kaldırılamadı: " &amp; Err.Description, vbExclamation</t>
        </is>
      </c>
    </row>
    <row r="826">
      <c r="A826" t="inlineStr">
        <is>
          <t>End Sub</t>
        </is>
      </c>
    </row>
    <row r="828">
      <c r="A828" t="inlineStr">
        <is>
          <t>' Günlük yazılamasa bile çağıran işlem (PDF, arşiv vb.) başarısız sayılmaz.</t>
        </is>
      </c>
    </row>
    <row r="829">
      <c r="A829" t="inlineStr">
        <is>
          <t>Public Sub TeklifIslemLoguV2(ByVal islem As String, ByVal teklifNo As String, ByVal sonuc As String, ByVal dosyaYolu As String)</t>
        </is>
      </c>
    </row>
    <row r="830">
      <c r="A830" t="inlineStr">
        <is>
          <t xml:space="preserve">    Dim satir As Range</t>
        </is>
      </c>
    </row>
    <row r="831">
      <c r="A831" t="inlineStr">
        <is>
          <t xml:space="preserve">    On Error GoTo Son</t>
        </is>
      </c>
    </row>
    <row r="832">
      <c r="A832" t="inlineStr">
        <is>
          <t xml:space="preserve">    Set satir = TabloSatiriAl(GunlukTablosu)</t>
        </is>
      </c>
    </row>
    <row r="833">
      <c r="A833" t="inlineStr">
        <is>
          <t xml:space="preserve">    With satir</t>
        </is>
      </c>
    </row>
    <row r="834">
      <c r="A834" t="inlineStr">
        <is>
          <t xml:space="preserve">        .Cells(1, 1).Value = Now</t>
        </is>
      </c>
    </row>
    <row r="835">
      <c r="A835" t="inlineStr">
        <is>
          <t xml:space="preserve">        .Cells(1, 2).Value = islem</t>
        </is>
      </c>
    </row>
    <row r="836">
      <c r="A836" t="inlineStr">
        <is>
          <t xml:space="preserve">        .Cells(1, 3).Value = teklifNo</t>
        </is>
      </c>
    </row>
    <row r="837">
      <c r="A837" t="inlineStr">
        <is>
          <t xml:space="preserve">        .Cells(1, 4).Value = TeklifSayfasi.Range("D3").Value</t>
        </is>
      </c>
    </row>
    <row r="838">
      <c r="A838" t="inlineStr">
        <is>
          <t xml:space="preserve">        .Cells(1, 5).Value = dosyaYolu</t>
        </is>
      </c>
    </row>
    <row r="839">
      <c r="A839" t="inlineStr">
        <is>
          <t xml:space="preserve">        .Cells(1, 6).Value = sonuc</t>
        </is>
      </c>
    </row>
    <row r="840">
      <c r="A840" t="inlineStr">
        <is>
          <t xml:space="preserve">    End With</t>
        </is>
      </c>
    </row>
    <row r="841">
      <c r="A841" t="inlineStr">
        <is>
          <t>Son:</t>
        </is>
      </c>
    </row>
    <row r="842">
      <c r="A842" t="inlineStr">
        <is>
          <t>End Sub</t>
        </is>
      </c>
    </row>
    <row r="844">
      <c r="A844" t="inlineStr">
        <is>
          <t>Private Function TeklifNoArsivdeVarV2(ByVal no As String) As Boolean</t>
        </is>
      </c>
    </row>
    <row r="845">
      <c r="A845" t="inlineStr">
        <is>
          <t xml:space="preserve">    Dim t As ListObject</t>
        </is>
      </c>
    </row>
    <row r="846">
      <c r="A846" t="inlineStr">
        <is>
          <t xml:space="preserve">    Set t = ArsivTablosu</t>
        </is>
      </c>
    </row>
    <row r="847">
      <c r="A847" t="inlineStr">
        <is>
          <t xml:space="preserve">    If t.DataBodyRange Is Nothing Then Exit Function</t>
        </is>
      </c>
    </row>
    <row r="848">
      <c r="A848" t="inlineStr">
        <is>
          <t xml:space="preserve">    TeklifNoArsivdeVarV2 = (Application.WorksheetFunction.CountIf(t.ListColumns("Teklif No").DataBodyRange, no) &gt; 0)</t>
        </is>
      </c>
    </row>
    <row r="849">
      <c r="A849" t="inlineStr">
        <is>
          <t>End Function</t>
        </is>
      </c>
    </row>
    <row r="851">
      <c r="A851" t="inlineStr">
        <is>
          <t>Rem ===== TEST =====</t>
        </is>
      </c>
    </row>
    <row r="853">
      <c r="A853" t="inlineStr">
        <is>
          <t>Public Sub TumFonksiyonlariTestEtV5()</t>
        </is>
      </c>
    </row>
    <row r="854">
      <c r="A854" t="inlineStr">
        <is>
          <t xml:space="preserve">    Dim sonuc As String</t>
        </is>
      </c>
    </row>
    <row r="855">
      <c r="A855" t="inlineStr">
        <is>
          <t xml:space="preserve">    sonuc = SistemTestiSonucu(True)</t>
        </is>
      </c>
    </row>
    <row r="856">
      <c r="A856" t="inlineStr">
        <is>
          <t xml:space="preserve">    MsgBox sonuc, IIf(Left$(sonuc, 5) = "BAŞAR", vbInformation, vbExclamation), "Sistem Testi " &amp; SURUM</t>
        </is>
      </c>
    </row>
    <row r="857">
      <c r="A857" t="inlineStr">
        <is>
          <t>End Sub</t>
        </is>
      </c>
    </row>
    <row r="859">
      <c r="A859" t="inlineStr">
        <is>
          <t>' Kullanıcı verisini değiştirmeden çalışır: test edilen hücreler sonunda eski haline getirilir.</t>
        </is>
      </c>
    </row>
    <row r="860">
      <c r="A860" t="inlineStr">
        <is>
          <t>Public Function SistemTestiSonucu(Optional ByVal panoTesti As Boolean = True) As String</t>
        </is>
      </c>
    </row>
    <row r="861">
      <c r="A861" t="inlineStr">
        <is>
          <t xml:space="preserve">    On Error GoTo Hata</t>
        </is>
      </c>
    </row>
    <row r="862">
      <c r="A862" t="inlineStr">
        <is>
          <t xml:space="preserve">    Dim ws As Worksheet, pdf As String, adim As String, rapor As String</t>
        </is>
      </c>
    </row>
    <row r="863">
      <c r="A863" t="inlineStr">
        <is>
          <t xml:space="preserve">    Dim eski As Variant, girisler As Variant, i As Long</t>
        </is>
      </c>
    </row>
    <row r="864">
      <c r="A864" t="inlineStr">
        <is>
          <t xml:space="preserve">    Set ws = TeklifSayfasi</t>
        </is>
      </c>
    </row>
    <row r="865">
      <c r="A865" t="inlineStr">
        <is>
          <t xml:space="preserve">    SayfayiKoru ws</t>
        </is>
      </c>
    </row>
    <row r="866">
      <c r="A866" t="inlineStr">
        <is>
          <t xml:space="preserve">    ' Yalnızca giriş hücreleri değiştirilir; B, C, F, H, J, K sütunlarındaki formüllere dokunulmaz.</t>
        </is>
      </c>
    </row>
    <row r="867">
      <c r="A867" t="inlineStr">
        <is>
          <t xml:space="preserve">    girisler = Array("A30", "D30", "E30", "G30", "I30")</t>
        </is>
      </c>
    </row>
    <row r="868">
      <c r="A868" t="inlineStr">
        <is>
          <t xml:space="preserve">    ReDim eski(0 To 4)</t>
        </is>
      </c>
    </row>
    <row r="869">
      <c r="A869" t="inlineStr">
        <is>
          <t xml:space="preserve">    For i = 0 To 4</t>
        </is>
      </c>
    </row>
    <row r="870">
      <c r="A870" t="inlineStr">
        <is>
          <t xml:space="preserve">        eski(i) = ws.Range(girisler(i)).Value</t>
        </is>
      </c>
    </row>
    <row r="871">
      <c r="A871" t="inlineStr">
        <is>
          <t xml:space="preserve">    Next i</t>
        </is>
      </c>
    </row>
    <row r="873">
      <c r="A873" t="inlineStr">
        <is>
          <t xml:space="preserve">    adim = "Telefon temizleme"</t>
        </is>
      </c>
    </row>
    <row r="874">
      <c r="A874" t="inlineStr">
        <is>
          <t xml:space="preserve">    If TemizTelefonV5("0532 123 45 67") &lt;&gt; "905321234567" Then Err.Raise vbObjectError + 210, , "0532... -&gt; " &amp; TemizTelefonV5("0532 123 45 67")</t>
        </is>
      </c>
    </row>
    <row r="875">
      <c r="A875" t="inlineStr">
        <is>
          <t xml:space="preserve">    If TemizTelefonV5("+90 (532) 123 45 67") &lt;&gt; "905321234567" Then Err.Raise vbObjectError + 210, , "+90... hatalı"</t>
        </is>
      </c>
    </row>
    <row r="876">
      <c r="A876" t="inlineStr">
        <is>
          <t xml:space="preserve">    If TemizTelefonV5("0090 532 123 45 67") &lt;&gt; "905321234567" Then Err.Raise vbObjectError + 210, , "0090... hatalı"</t>
        </is>
      </c>
    </row>
    <row r="877">
      <c r="A877" t="inlineStr">
        <is>
          <t xml:space="preserve">    rapor = rapor &amp; "• Telefon temizleme" &amp; vbCrLf</t>
        </is>
      </c>
    </row>
    <row r="879">
      <c r="A879" t="inlineStr">
        <is>
          <t xml:space="preserve">    adim = "Dosya adı"</t>
        </is>
      </c>
    </row>
    <row r="880">
      <c r="A880" t="inlineStr">
        <is>
          <t xml:space="preserve">    If DosyaAdiTemizle("T:1/2?*") &lt;&gt; "T-1-2--" Then Err.Raise vbObjectError + 211, , DosyaAdiTemizle("T:1/2?*")</t>
        </is>
      </c>
    </row>
    <row r="881">
      <c r="A881" t="inlineStr">
        <is>
          <t xml:space="preserve">    If DosyaAdiTemizle("  ") &lt;&gt; "Numarasiz" Then Err.Raise vbObjectError + 211, , "boş ad"</t>
        </is>
      </c>
    </row>
    <row r="882">
      <c r="A882" t="inlineStr">
        <is>
          <t xml:space="preserve">    rapor = rapor &amp; "• Dosya adı temizleme" &amp; vbCrLf</t>
        </is>
      </c>
    </row>
    <row r="884">
      <c r="A884" t="inlineStr">
        <is>
          <t xml:space="preserve">    adim = "Kur sayı çevirme"</t>
        </is>
      </c>
    </row>
    <row r="885">
      <c r="A885" t="inlineStr">
        <is>
          <t xml:space="preserve">    If Abs(YerelSayiyaCevirV3("49,9679") - 49.9679) &gt; 0.00001 Then Err.Raise vbObjectError + 216, , "49,9679"</t>
        </is>
      </c>
    </row>
    <row r="886">
      <c r="A886" t="inlineStr">
        <is>
          <t xml:space="preserve">    If Abs(YerelSayiyaCevirV3("1.234,56") - 1234.56) &gt; 0.00001 Then Err.Raise vbObjectError + 216, , "1.234,56"</t>
        </is>
      </c>
    </row>
    <row r="887">
      <c r="A887" t="inlineStr">
        <is>
          <t xml:space="preserve">    If Abs(YerelSayiyaCevirV3("49.9679") - 49.9679) &gt; 0.00001 Then Err.Raise vbObjectError + 216, , "49.9679"</t>
        </is>
      </c>
    </row>
    <row r="888">
      <c r="A888" t="inlineStr">
        <is>
          <t xml:space="preserve">    If Abs(SatisKuruBulV6("&lt;tr&gt;&lt;td&gt;USD&lt;/td&gt;&lt;td&gt;48,7859&lt;/td&gt;&lt;td&gt;49,9679&lt;/td&gt;&lt;/tr&gt;", "USD") - 49.9679) &gt; 0.00001 Then Err.Raise vbObjectError + 217, , "HTML kur ayrıştırma"</t>
        </is>
      </c>
    </row>
    <row r="889">
      <c r="A889" t="inlineStr">
        <is>
          <t xml:space="preserve">    rapor = rapor &amp; "• Kur ayrıştırma ve sayı çevirme" &amp; vbCrLf</t>
        </is>
      </c>
    </row>
    <row r="891">
      <c r="A891" t="inlineStr">
        <is>
          <t xml:space="preserve">    adim = "Ürün formülleri"</t>
        </is>
      </c>
    </row>
    <row r="892">
      <c r="A892" t="inlineStr">
        <is>
          <t xml:space="preserve">    Application.EnableEvents = False</t>
        </is>
      </c>
    </row>
    <row r="893">
      <c r="A893" t="inlineStr">
        <is>
          <t xml:space="preserve">    ws.Range("A30,D30,E30,I30").ClearContents</t>
        </is>
      </c>
    </row>
    <row r="894">
      <c r="A894" t="inlineStr">
        <is>
          <t xml:space="preserve">    ws.Range("A30").Value = "Y.S. HELYUM GAZI"</t>
        </is>
      </c>
    </row>
    <row r="895">
      <c r="A895" t="inlineStr">
        <is>
          <t xml:space="preserve">    ws.Range("D30").Value = 1</t>
        </is>
      </c>
    </row>
    <row r="896">
      <c r="A896" t="inlineStr">
        <is>
          <t xml:space="preserve">    ws.Range("E30").Value = 10</t>
        </is>
      </c>
    </row>
    <row r="897">
      <c r="A897" t="inlineStr">
        <is>
          <t xml:space="preserve">    ws.Range("I30").Value = "USD"</t>
        </is>
      </c>
    </row>
    <row r="898">
      <c r="A898" t="inlineStr">
        <is>
          <t xml:space="preserve">    Application.EnableEvents = True</t>
        </is>
      </c>
    </row>
    <row r="899">
      <c r="A899" t="inlineStr">
        <is>
          <t xml:space="preserve">    Hesapla</t>
        </is>
      </c>
    </row>
    <row r="900">
      <c r="A900" t="inlineStr">
        <is>
          <t xml:space="preserve">    If Sayi(ws.Range("B30").Value) &lt;&gt; 200 Then Err.Raise vbObjectError + 212, , "BAR formülü: " &amp; ws.Range("B30").Value</t>
        </is>
      </c>
    </row>
    <row r="901">
      <c r="A901" t="inlineStr">
        <is>
          <t xml:space="preserve">    If Abs(Sayi(ws.Range("C30").Value) - 9.2) &gt; 0.0001 Then Err.Raise vbObjectError + 213, , "Gaz miktarı formülü"</t>
        </is>
      </c>
    </row>
    <row r="902">
      <c r="A902" t="inlineStr">
        <is>
          <t xml:space="preserve">    If Sayi(ws.Range("J30").Value) &lt;= 1 Then Err.Raise vbObjectError + 214, , "Kur formülü"</t>
        </is>
      </c>
    </row>
    <row r="903">
      <c r="A903" t="inlineStr">
        <is>
          <t xml:space="preserve">    rapor = rapor &amp; "• Ürün, gaz ve kur formülleri" &amp; vbCrLf</t>
        </is>
      </c>
    </row>
    <row r="905">
      <c r="A905" t="inlineStr">
        <is>
          <t xml:space="preserve">    adim = "Ürün varsayılanları"</t>
        </is>
      </c>
    </row>
    <row r="906">
      <c r="A906" t="inlineStr">
        <is>
          <t xml:space="preserve">    Application.EnableEvents = False</t>
        </is>
      </c>
    </row>
    <row r="907">
      <c r="A907" t="inlineStr">
        <is>
          <t xml:space="preserve">    ws.Range("A30,D30,E30,I30").ClearContents</t>
        </is>
      </c>
    </row>
    <row r="908">
      <c r="A908" t="inlineStr">
        <is>
          <t xml:space="preserve">    Application.EnableEvents = True</t>
        </is>
      </c>
    </row>
    <row r="909">
      <c r="A909" t="inlineStr">
        <is>
          <t xml:space="preserve">    ws.Range("A30").Value = "Y.S. ARGON GAZI"</t>
        </is>
      </c>
    </row>
    <row r="910">
      <c r="A910" t="inlineStr">
        <is>
          <t xml:space="preserve">    If Sayi(ws.Range("E30").Value) &lt;&gt; 1000 Or CStr(ws.Range("I30").Value) &lt;&gt; "TRY" Or Sayi(ws.Range("D30").Value) &lt;&gt; 1 Then _</t>
        </is>
      </c>
    </row>
    <row r="911">
      <c r="A911" t="inlineStr">
        <is>
          <t xml:space="preserve">        Err.Raise vbObjectError + 218, , "Otomatik doldurma: E=" &amp; ws.Range("E30").Value &amp; " I=" &amp; ws.Range("I30").Value &amp; " D=" &amp; ws.Range("D30").Value</t>
        </is>
      </c>
    </row>
    <row r="912">
      <c r="A912" t="inlineStr">
        <is>
          <t xml:space="preserve">    rapor = rapor &amp; "• Ürün seçilince fiyat/para birimi/KDV doldurma" &amp; vbCrLf</t>
        </is>
      </c>
    </row>
    <row r="914">
      <c r="A914" t="inlineStr">
        <is>
          <t xml:space="preserve">    GirisleriGeriYukle ws, girisler, eski</t>
        </is>
      </c>
    </row>
    <row r="915">
      <c r="A915" t="inlineStr">
        <is>
          <t xml:space="preserve">    Hesapla</t>
        </is>
      </c>
    </row>
    <row r="916">
      <c r="A916" t="inlineStr">
        <is>
          <t xml:space="preserve">    If Not ws.Range("B30").HasFormula Or Not ws.Range("F30").HasFormula Then Err.Raise vbObjectError + 220, , "Test sonrası formüller bozuldu"</t>
        </is>
      </c>
    </row>
    <row r="918">
      <c r="A918" t="inlineStr">
        <is>
          <t xml:space="preserve">    adim = "Teklif numarası"</t>
        </is>
      </c>
    </row>
    <row r="919">
      <c r="A919" t="inlineStr">
        <is>
          <t xml:space="preserve">    If Len(SonrakiTeklifNo()) = 0 Then Err.Raise vbObjectError + 219, , "Numara üretilemedi"</t>
        </is>
      </c>
    </row>
    <row r="920">
      <c r="A920" t="inlineStr">
        <is>
          <t xml:space="preserve">    rapor = rapor &amp; "• Sonraki teklif no: " &amp; SonrakiTeklifNo() &amp; vbCrLf</t>
        </is>
      </c>
    </row>
    <row r="922">
      <c r="A922" t="inlineStr">
        <is>
          <t xml:space="preserve">    adim = "PDF oluşturma"</t>
        </is>
      </c>
    </row>
    <row r="923">
      <c r="A923" t="inlineStr">
        <is>
          <t xml:space="preserve">    pdf = TeklifPDFOlustur(Environ$("TEMP"), "Teklif_PDF_Test")</t>
        </is>
      </c>
    </row>
    <row r="924">
      <c r="A924" t="inlineStr">
        <is>
          <t xml:space="preserve">    rapor = rapor &amp; "• A4 PDF oluşturma" &amp; vbCrLf</t>
        </is>
      </c>
    </row>
    <row r="925">
      <c r="A925" t="inlineStr">
        <is>
          <t xml:space="preserve">    If panoTesti Then</t>
        </is>
      </c>
    </row>
    <row r="926">
      <c r="A926" t="inlineStr">
        <is>
          <t xml:space="preserve">        adim = "Pano"</t>
        </is>
      </c>
    </row>
    <row r="927">
      <c r="A927" t="inlineStr">
        <is>
          <t xml:space="preserve">        DosyayiPanoyaKopyalaV5 pdf</t>
        </is>
      </c>
    </row>
    <row r="928">
      <c r="A928" t="inlineStr">
        <is>
          <t xml:space="preserve">        rapor = rapor &amp; "• PDF'yi Windows panosuna alma" &amp; vbCrLf</t>
        </is>
      </c>
    </row>
    <row r="929">
      <c r="A929" t="inlineStr">
        <is>
          <t xml:space="preserve">    End If</t>
        </is>
      </c>
    </row>
    <row r="930">
      <c r="A930" t="inlineStr">
        <is>
          <t xml:space="preserve">    Kill pdf</t>
        </is>
      </c>
    </row>
    <row r="932">
      <c r="A932" t="inlineStr">
        <is>
          <t xml:space="preserve">    adim = "Gönderim kontrolü"</t>
        </is>
      </c>
    </row>
    <row r="933">
      <c r="A933" t="inlineStr">
        <is>
          <t xml:space="preserve">    rapor = rapor &amp; "• Gönderim kontrolü: " &amp; IIf(Len(GonderimUyarilari()) = 0, "uyarı yok", Replace(GonderimUyarilari(), vbCrLf, " ")) &amp; vbCrLf</t>
        </is>
      </c>
    </row>
    <row r="935">
      <c r="A935" t="inlineStr">
        <is>
          <t xml:space="preserve">    SistemTestiSonucu = "BAŞARILI - tüm testler geçti:" &amp; vbCrLf &amp; rapor &amp; "Sürüm: " &amp; SURUM</t>
        </is>
      </c>
    </row>
    <row r="936">
      <c r="A936" t="inlineStr">
        <is>
          <t xml:space="preserve">    Exit Function</t>
        </is>
      </c>
    </row>
    <row r="937">
      <c r="A937" t="inlineStr">
        <is>
          <t>Hata:</t>
        </is>
      </c>
    </row>
    <row r="938">
      <c r="A938" t="inlineStr">
        <is>
          <t xml:space="preserve">    Dim hataMetni As String</t>
        </is>
      </c>
    </row>
    <row r="939">
      <c r="A939" t="inlineStr">
        <is>
          <t xml:space="preserve">    hataMetni = "Hata " &amp; Err.Number &amp; ": " &amp; Err.Description</t>
        </is>
      </c>
    </row>
    <row r="940">
      <c r="A940" t="inlineStr">
        <is>
          <t xml:space="preserve">    On Error Resume Next</t>
        </is>
      </c>
    </row>
    <row r="941">
      <c r="A941" t="inlineStr">
        <is>
          <t xml:space="preserve">    If IsArray(eski) Then GirisleriGeriYukle ws, girisler, eski</t>
        </is>
      </c>
    </row>
    <row r="942">
      <c r="A942" t="inlineStr">
        <is>
          <t xml:space="preserve">    Application.EnableEvents = True</t>
        </is>
      </c>
    </row>
    <row r="943">
      <c r="A943" t="inlineStr">
        <is>
          <t xml:space="preserve">    SistemTestiSonucu = "BAŞARISIZ - adım: " &amp; adim &amp; vbCrLf &amp; hataMetni &amp; vbCrLf &amp; "Geçen testler:" &amp; vbCrLf &amp; rapor</t>
        </is>
      </c>
    </row>
    <row r="944">
      <c r="A944" t="inlineStr">
        <is>
          <t>End Function</t>
        </is>
      </c>
    </row>
    <row r="946">
      <c r="A946" t="inlineStr">
        <is>
          <t>Private Sub GirisleriGeriYukle(ByVal ws As Worksheet, ByVal girisler As Variant, ByVal eski As Variant)</t>
        </is>
      </c>
    </row>
    <row r="947">
      <c r="A947" t="inlineStr">
        <is>
          <t xml:space="preserve">    Dim i As Long</t>
        </is>
      </c>
    </row>
    <row r="948">
      <c r="A948" t="inlineStr">
        <is>
          <t xml:space="preserve">    Application.EnableEvents = False</t>
        </is>
      </c>
    </row>
    <row r="949">
      <c r="A949" t="inlineStr">
        <is>
          <t xml:space="preserve">    For i = LBound(girisler) To UBound(girisler)</t>
        </is>
      </c>
    </row>
    <row r="950">
      <c r="A950" t="inlineStr">
        <is>
          <t xml:space="preserve">        ws.Range(girisler(i)).Value = eski(i)</t>
        </is>
      </c>
    </row>
    <row r="951">
      <c r="A951" t="inlineStr">
        <is>
          <t xml:space="preserve">    Next i</t>
        </is>
      </c>
    </row>
    <row r="952">
      <c r="A952" t="inlineStr">
        <is>
          <t xml:space="preserve">    Application.EnableEvents = True</t>
        </is>
      </c>
    </row>
    <row r="953">
      <c r="A953" t="inlineStr">
        <is>
          <t>End Sub</t>
        </is>
      </c>
    </row>
    <row r="955">
      <c r="A955" t="inlineStr">
        <is>
          <t>' Lisansı dolmuş/kısıtlı Excel'de bu iki komut 1004 verir; işlem yarıda kalmasın diye hata yutulur.</t>
        </is>
      </c>
    </row>
    <row r="956">
      <c r="A956" t="inlineStr">
        <is>
          <t>Private Sub DurumCubugu(ByVal metin As Variant)</t>
        </is>
      </c>
    </row>
    <row r="957">
      <c r="A957" t="inlineStr">
        <is>
          <t xml:space="preserve">    On Error Resume Next</t>
        </is>
      </c>
    </row>
    <row r="958">
      <c r="A958" t="inlineStr">
        <is>
          <t xml:space="preserve">    Application.StatusBar = metin</t>
        </is>
      </c>
    </row>
    <row r="959">
      <c r="A959" t="inlineStr">
        <is>
          <t>End Sub</t>
        </is>
      </c>
    </row>
    <row r="961">
      <c r="A961" t="inlineStr">
        <is>
          <t>Private Sub Hesapla()</t>
        </is>
      </c>
    </row>
    <row r="962">
      <c r="A962" t="inlineStr">
        <is>
          <t xml:space="preserve">    On Error Resume Next</t>
        </is>
      </c>
    </row>
    <row r="963">
      <c r="A963" t="inlineStr">
        <is>
          <t xml:space="preserve">    Application.Calculate</t>
        </is>
      </c>
    </row>
    <row r="964">
      <c r="A964" t="inlineStr">
        <is>
          <t>End Sub</t>
        </is>
      </c>
    </row>
    <row r="966">
      <c r="A966" t="inlineStr">
        <is>
          <t>' Kısıtlı (lisanssız) Excel'de korumalı sayfaya tekrar Protect 1004 verir; önce kaldırılıp yeniden uygulanır.</t>
        </is>
      </c>
    </row>
    <row r="967">
      <c r="A967" t="inlineStr">
        <is>
          <t>Private Sub SayfayiKoru(ByVal ws As Worksheet)</t>
        </is>
      </c>
    </row>
    <row r="968">
      <c r="A968" t="inlineStr">
        <is>
          <t xml:space="preserve">    On Error Resume Next</t>
        </is>
      </c>
    </row>
    <row r="969">
      <c r="A969" t="inlineStr">
        <is>
          <t xml:space="preserve">    ws.Unprotect Password:=SIFRE</t>
        </is>
      </c>
    </row>
    <row r="970">
      <c r="A970" t="inlineStr">
        <is>
          <t xml:space="preserve">    ws.Protect Password:=SIFRE, UserInterfaceOnly:=True, AllowFiltering:=True</t>
        </is>
      </c>
    </row>
    <row r="971">
      <c r="A971" t="inlineStr">
        <is>
          <t>End Sub</t>
        </is>
      </c>
    </row>
  </sheetData>
  <mergeCells count="5">
    <mergeCell ref="A573:B573"/>
    <mergeCell ref="A1:Y1"/>
    <mergeCell ref="A571:B571"/>
    <mergeCell ref="A572:B572"/>
    <mergeCell ref="A3:Y3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>
  <sheetPr codeName="Sayfa33">
    <outlinePr summaryBelow="1" summaryRight="1"/>
    <pageSetUpPr/>
  </sheetPr>
  <dimension ref="A1:Y67"/>
  <sheetViews>
    <sheetView topLeftCell="A24" workbookViewId="0">
      <selection activeCell="A14" sqref="A14:Y16"/>
    </sheetView>
  </sheetViews>
  <sheetFormatPr baseColWidth="8" defaultRowHeight="15"/>
  <cols>
    <col width="14.28515625" customWidth="1" style="164" min="1" max="8"/>
  </cols>
  <sheetData>
    <row r="1" ht="27.95" customHeight="1" s="164">
      <c r="A1" s="256" t="inlineStr">
        <is>
          <t>GÜNCEL — Module1 v9 gömülü (2026.10.21). Compile VBAProject ile doğrulayın.</t>
        </is>
      </c>
    </row>
    <row r="2" ht="27.95" customHeight="1" s="164">
      <c r="A2" s="181" t="n"/>
      <c r="B2" s="181" t="n"/>
      <c r="C2" s="181" t="n"/>
      <c r="D2" s="181" t="n"/>
      <c r="E2" s="181" t="n"/>
      <c r="F2" s="181" t="n"/>
      <c r="G2" s="181" t="n"/>
      <c r="H2" s="181" t="n"/>
      <c r="I2" s="181" t="n"/>
      <c r="J2" s="181" t="n"/>
      <c r="K2" s="181" t="n"/>
      <c r="L2" s="181" t="n"/>
      <c r="M2" s="181" t="n"/>
      <c r="N2" s="181" t="n"/>
      <c r="O2" s="181" t="n"/>
      <c r="P2" s="181" t="n"/>
      <c r="Q2" s="181" t="n"/>
      <c r="R2" s="181" t="n"/>
      <c r="S2" s="181" t="n"/>
      <c r="T2" s="181" t="n"/>
      <c r="U2" s="181" t="n"/>
      <c r="V2" s="181" t="n"/>
      <c r="W2" s="181" t="n"/>
      <c r="X2" s="181" t="n"/>
      <c r="Y2" s="181" t="n"/>
    </row>
    <row r="3" ht="27.95" customHeight="1" s="164">
      <c r="A3" s="255" t="inlineStr">
        <is>
          <t>1) Alt+F11 → BuÇalışmaKitabı/ThisWorkbook → Ctrl+A/Delete → ThisWorkbook Kodu!B5:Y10 alanını yapıştırın.</t>
        </is>
      </c>
    </row>
    <row r="4" ht="27.95" customHeight="1" s="164">
      <c r="A4" s="255" t="n"/>
      <c r="B4" s="255" t="n"/>
      <c r="C4" s="255" t="n"/>
      <c r="D4" s="255" t="n"/>
      <c r="E4" s="255" t="n"/>
      <c r="F4" s="255" t="n"/>
      <c r="G4" s="255" t="n"/>
      <c r="H4" s="255" t="n"/>
      <c r="I4" s="255" t="n"/>
      <c r="J4" s="255" t="n"/>
      <c r="K4" s="255" t="n"/>
      <c r="L4" s="255" t="n"/>
      <c r="M4" s="255" t="n"/>
      <c r="N4" s="255" t="n"/>
      <c r="O4" s="255" t="n"/>
      <c r="P4" s="255" t="n"/>
      <c r="Q4" s="255" t="n"/>
      <c r="R4" s="255" t="n"/>
      <c r="S4" s="255" t="n"/>
      <c r="T4" s="255" t="n"/>
      <c r="U4" s="255" t="n"/>
      <c r="V4" s="255" t="n"/>
      <c r="W4" s="255" t="n"/>
      <c r="X4" s="255" t="n"/>
      <c r="Y4" s="255" t="n"/>
    </row>
    <row r="5" ht="27.95" customHeight="1" s="164">
      <c r="A5" s="255" t="inlineStr">
        <is>
          <t>2) Modules → Module1 içinde tam kaynak TEK VBA MODÜLÜ!A5:Y569 olmalıdır. Yalnız bir yordam değil, Module1’in tamamını değiştirin.</t>
        </is>
      </c>
    </row>
    <row r="6" ht="27.95" customHeight="1" s="164">
      <c r="A6" s="255" t="n"/>
      <c r="B6" s="255" t="n"/>
      <c r="C6" s="255" t="n"/>
      <c r="D6" s="255" t="n"/>
      <c r="E6" s="255" t="n"/>
      <c r="F6" s="255" t="n"/>
      <c r="G6" s="255" t="n"/>
      <c r="H6" s="255" t="n"/>
      <c r="I6" s="255" t="n"/>
      <c r="J6" s="255" t="n"/>
      <c r="K6" s="255" t="n"/>
      <c r="L6" s="255" t="n"/>
      <c r="M6" s="255" t="n"/>
      <c r="N6" s="255" t="n"/>
      <c r="O6" s="255" t="n"/>
      <c r="P6" s="255" t="n"/>
      <c r="Q6" s="255" t="n"/>
      <c r="R6" s="255" t="n"/>
      <c r="S6" s="255" t="n"/>
      <c r="T6" s="255" t="n"/>
      <c r="U6" s="255" t="n"/>
      <c r="V6" s="255" t="n"/>
      <c r="W6" s="255" t="n"/>
      <c r="X6" s="255" t="n"/>
      <c r="Y6" s="255" t="n"/>
    </row>
    <row r="7" ht="27.95" customHeight="1" s="164">
      <c r="A7" s="257" t="inlineStr">
        <is>
          <t>3) Debug/Hata Ayıklama → Compile VBAProject. Sonra Alt+F8 listesinde IsBankasiKurlariGuncelleV3 bulunduğunu doğrulayın.</t>
        </is>
      </c>
    </row>
    <row r="8" ht="27.95" customHeight="1" s="164">
      <c r="A8" s="257" t="n"/>
      <c r="B8" s="257" t="n"/>
      <c r="C8" s="257" t="n"/>
      <c r="D8" s="257" t="n"/>
      <c r="E8" s="257" t="n"/>
      <c r="F8" s="257" t="n"/>
      <c r="G8" s="257" t="n"/>
      <c r="H8" s="257" t="n"/>
      <c r="I8" s="255" t="n"/>
      <c r="J8" s="255" t="n"/>
      <c r="K8" s="255" t="n"/>
      <c r="L8" s="255" t="n"/>
      <c r="M8" s="255" t="n"/>
      <c r="N8" s="255" t="n"/>
      <c r="O8" s="255" t="n"/>
      <c r="P8" s="255" t="n"/>
      <c r="Q8" s="255" t="n"/>
      <c r="R8" s="255" t="n"/>
      <c r="S8" s="255" t="n"/>
      <c r="T8" s="255" t="n"/>
      <c r="U8" s="255" t="n"/>
      <c r="V8" s="255" t="n"/>
      <c r="W8" s="255" t="n"/>
      <c r="X8" s="255" t="n"/>
      <c r="Y8" s="255" t="n"/>
    </row>
    <row r="9" ht="27.95" customHeight="1" s="164">
      <c r="A9" s="255" t="inlineStr">
        <is>
          <t>ÇALIŞMA KİTABI: BAŞARILI — 33 sayfa, 368 formül, 23 teklif satırı, formül hata değeri yok.</t>
        </is>
      </c>
    </row>
    <row r="10" ht="27.95" customHeight="1" s="164">
      <c r="A10" s="257" t="n"/>
      <c r="B10" s="257" t="n"/>
      <c r="C10" s="257" t="n"/>
      <c r="D10" s="257" t="n"/>
      <c r="E10" s="257" t="n"/>
      <c r="F10" s="257" t="n"/>
      <c r="G10" s="257" t="n"/>
      <c r="H10" s="257" t="n"/>
      <c r="I10" s="255" t="n"/>
      <c r="J10" s="255" t="n"/>
      <c r="K10" s="255" t="n"/>
      <c r="L10" s="255" t="n"/>
      <c r="M10" s="255" t="n"/>
      <c r="N10" s="255" t="n"/>
      <c r="O10" s="255" t="n"/>
      <c r="P10" s="255" t="n"/>
      <c r="Q10" s="255" t="n"/>
      <c r="R10" s="255" t="n"/>
      <c r="S10" s="255" t="n"/>
      <c r="T10" s="255" t="n"/>
      <c r="U10" s="255" t="n"/>
      <c r="V10" s="255" t="n"/>
      <c r="W10" s="255" t="n"/>
      <c r="X10" s="255" t="n"/>
      <c r="Y10" s="255" t="n"/>
    </row>
    <row r="11" ht="27.95" customHeight="1" s="164">
      <c r="A11" s="255" t="inlineStr">
        <is>
          <t>BAĞIMLILIKLAR: BAŞARILI — 4 gerekli tablo ve 8 makro düğmesi/şekli mevcut.</t>
        </is>
      </c>
    </row>
    <row r="12" ht="27.95" customHeight="1" s="164">
      <c r="A12" s="255" t="n"/>
      <c r="B12" s="255" t="n"/>
      <c r="C12" s="255" t="n"/>
      <c r="D12" s="255" t="n"/>
      <c r="E12" s="255" t="n"/>
      <c r="F12" s="255" t="n"/>
      <c r="G12" s="255" t="n"/>
      <c r="H12" s="255" t="n"/>
      <c r="I12" s="255" t="n"/>
      <c r="J12" s="255" t="n"/>
      <c r="K12" s="255" t="n"/>
      <c r="L12" s="255" t="n"/>
      <c r="M12" s="255" t="n"/>
      <c r="N12" s="255" t="n"/>
      <c r="O12" s="255" t="n"/>
      <c r="P12" s="255" t="n"/>
      <c r="Q12" s="255" t="n"/>
      <c r="R12" s="255" t="n"/>
      <c r="S12" s="255" t="n"/>
      <c r="T12" s="255" t="n"/>
      <c r="U12" s="255" t="n"/>
      <c r="V12" s="255" t="n"/>
      <c r="W12" s="255" t="n"/>
      <c r="X12" s="255" t="n"/>
      <c r="Y12" s="255" t="n"/>
    </row>
    <row r="13" ht="27.95" customHeight="1" s="164">
      <c r="A13" s="255" t="inlineStr">
        <is>
          <t>HESAPLAMA TESTİ: BAŞARILI — 4 dolu satır; ara toplam 104.843,54 TL, KDV 20.968,71 TL, genel toplam 125.812,25 TL.</t>
        </is>
      </c>
    </row>
    <row r="14" ht="27.95" customHeight="1" s="164">
      <c r="A14" s="258" t="n"/>
      <c r="B14" s="258" t="n"/>
      <c r="C14" s="258" t="n"/>
      <c r="D14" s="258" t="n"/>
      <c r="E14" s="258" t="n"/>
      <c r="F14" s="258" t="n"/>
      <c r="G14" s="258" t="n"/>
      <c r="H14" s="258" t="n"/>
      <c r="I14" s="181" t="n"/>
      <c r="J14" s="181" t="n"/>
      <c r="K14" s="181" t="n"/>
      <c r="L14" s="181" t="n"/>
      <c r="M14" s="181" t="n"/>
      <c r="N14" s="181" t="n"/>
      <c r="O14" s="181" t="n"/>
      <c r="P14" s="181" t="n"/>
      <c r="Q14" s="181" t="n"/>
      <c r="R14" s="181" t="n"/>
      <c r="S14" s="181" t="n"/>
      <c r="T14" s="181" t="n"/>
      <c r="U14" s="181" t="n"/>
      <c r="V14" s="181" t="n"/>
      <c r="W14" s="181" t="n"/>
      <c r="X14" s="181" t="n"/>
      <c r="Y14" s="181" t="n"/>
    </row>
    <row r="15" ht="27.95" customHeight="1" s="164">
      <c r="A15" s="258" t="inlineStr">
        <is>
          <t>ESKİ VBA KODU SAYFASI: KULLANMAYIN — VBA Kodu sayfası eski referanstır; tek kurulum kaynağı TEK VBA MODÜLÜ!A5:Y569.</t>
        </is>
      </c>
    </row>
    <row r="16" ht="27.95" customHeight="1" s="164">
      <c r="A16" s="251" t="n"/>
      <c r="B16" s="86" t="n"/>
      <c r="C16" s="86" t="n"/>
      <c r="D16" s="86" t="n"/>
      <c r="E16" s="86" t="n"/>
      <c r="F16" s="86" t="n"/>
      <c r="G16" s="86" t="n"/>
      <c r="H16" s="86" t="n"/>
      <c r="I16" s="181" t="n"/>
      <c r="J16" s="181" t="n"/>
      <c r="K16" s="181" t="n"/>
      <c r="L16" s="181" t="n"/>
      <c r="M16" s="181" t="n"/>
      <c r="N16" s="181" t="n"/>
      <c r="O16" s="181" t="n"/>
      <c r="P16" s="181" t="n"/>
      <c r="Q16" s="181" t="n"/>
      <c r="R16" s="181" t="n"/>
      <c r="S16" s="181" t="n"/>
      <c r="T16" s="181" t="n"/>
      <c r="U16" s="181" t="n"/>
      <c r="V16" s="181" t="n"/>
      <c r="W16" s="181" t="n"/>
      <c r="X16" s="181" t="n"/>
      <c r="Y16" s="181" t="n"/>
    </row>
    <row r="17" ht="27.95" customHeight="1" s="164">
      <c r="A17" s="259" t="inlineStr">
        <is>
          <t>MASAÜSTÜ CANLI TEST 1: Debug → Compile VBAProject</t>
        </is>
      </c>
    </row>
    <row r="18" ht="27.95" customHeight="1" s="164">
      <c r="A18" s="259" t="n"/>
      <c r="B18" s="259" t="n"/>
      <c r="C18" s="259" t="n"/>
      <c r="D18" s="259" t="n"/>
      <c r="E18" s="259" t="n"/>
      <c r="F18" s="259" t="n"/>
      <c r="G18" s="259" t="n"/>
      <c r="H18" s="259" t="n"/>
      <c r="I18" s="259" t="n"/>
      <c r="J18" s="259" t="n"/>
      <c r="K18" s="259" t="n"/>
      <c r="L18" s="259" t="n"/>
      <c r="M18" s="259" t="n"/>
      <c r="N18" s="259" t="n"/>
      <c r="O18" s="259" t="n"/>
      <c r="P18" s="259" t="n"/>
      <c r="Q18" s="259" t="n"/>
      <c r="R18" s="259" t="n"/>
      <c r="S18" s="259" t="n"/>
      <c r="T18" s="259" t="n"/>
      <c r="U18" s="259" t="n"/>
      <c r="V18" s="259" t="n"/>
      <c r="W18" s="259" t="n"/>
      <c r="X18" s="259" t="n"/>
      <c r="Y18" s="259" t="n"/>
    </row>
    <row r="19" ht="27.95" customHeight="1" s="164">
      <c r="A19" s="259" t="inlineStr">
        <is>
          <t>MASAÜSTÜ CANLI TEST 2: Alt+F8 → TumFonksiyonlariTestEtV5</t>
        </is>
      </c>
    </row>
    <row r="20" ht="27.95" customHeight="1" s="164">
      <c r="A20" s="89" t="n"/>
      <c r="B20" s="89" t="n"/>
      <c r="C20" s="89" t="n"/>
      <c r="D20" s="89" t="n"/>
      <c r="E20" s="89" t="n"/>
      <c r="F20" s="89" t="n"/>
      <c r="G20" s="89" t="n"/>
      <c r="H20" s="89" t="n"/>
      <c r="I20" s="259" t="n"/>
      <c r="J20" s="259" t="n"/>
      <c r="K20" s="259" t="n"/>
      <c r="L20" s="259" t="n"/>
      <c r="M20" s="259" t="n"/>
      <c r="N20" s="259" t="n"/>
      <c r="O20" s="259" t="n"/>
      <c r="P20" s="259" t="n"/>
      <c r="Q20" s="259" t="n"/>
      <c r="R20" s="259" t="n"/>
      <c r="S20" s="259" t="n"/>
      <c r="T20" s="259" t="n"/>
      <c r="U20" s="259" t="n"/>
      <c r="V20" s="259" t="n"/>
      <c r="W20" s="259" t="n"/>
      <c r="X20" s="259" t="n"/>
      <c r="Y20" s="259" t="n"/>
    </row>
    <row r="21" ht="27.95" customHeight="1" s="164">
      <c r="A21" s="259" t="inlineStr">
        <is>
          <t>MASAÜSTÜ CANLI TEST 3: Alt+F8 → IsBankasiKurlariGuncelleV3 ve PDFKaydetTestiV2</t>
        </is>
      </c>
    </row>
    <row r="22" ht="27.95" customHeight="1" s="164">
      <c r="A22" s="89" t="n"/>
      <c r="B22" s="89" t="n"/>
      <c r="C22" s="89" t="n"/>
      <c r="D22" s="89" t="n"/>
      <c r="E22" s="89" t="n"/>
      <c r="F22" s="89" t="n"/>
      <c r="G22" s="89" t="n"/>
      <c r="H22" s="89" t="n"/>
      <c r="I22" s="259" t="n"/>
      <c r="J22" s="259" t="n"/>
      <c r="K22" s="259" t="n"/>
      <c r="L22" s="259" t="n"/>
      <c r="M22" s="259" t="n"/>
      <c r="N22" s="259" t="n"/>
      <c r="O22" s="259" t="n"/>
      <c r="P22" s="259" t="n"/>
      <c r="Q22" s="259" t="n"/>
      <c r="R22" s="259" t="n"/>
      <c r="S22" s="259" t="n"/>
      <c r="T22" s="259" t="n"/>
      <c r="U22" s="259" t="n"/>
      <c r="V22" s="259" t="n"/>
      <c r="W22" s="259" t="n"/>
      <c r="X22" s="259" t="n"/>
      <c r="Y22" s="259" t="n"/>
    </row>
    <row r="23" ht="27.95" customHeight="1" s="164">
      <c r="A23" s="259" t="inlineStr">
        <is>
          <t>MASAÜSTÜ CANLI TEST 4: Klasik Outlook varsa OutlookPDFTestiV1; WhatsApp gönderimi yalnız gerçek kullanıcı oturumunda denenebilir.</t>
        </is>
      </c>
    </row>
    <row r="24">
      <c r="A24" s="181" t="n"/>
      <c r="B24" s="181" t="n"/>
      <c r="C24" s="181" t="n"/>
      <c r="D24" s="181" t="n"/>
      <c r="E24" s="181" t="n"/>
      <c r="F24" s="181" t="n"/>
      <c r="G24" s="181" t="n"/>
      <c r="H24" s="181" t="n"/>
    </row>
    <row r="25" ht="30" customHeight="1" s="164">
      <c r="A25" s="260" t="inlineStr">
        <is>
          <t>DEVAM NOKTASI — 27.09.2026 21:00</t>
        </is>
      </c>
    </row>
    <row r="26" ht="30" customHeight="1" s="164">
      <c r="A26" s="181" t="n"/>
      <c r="B26" s="181" t="n"/>
      <c r="C26" s="181" t="n"/>
      <c r="D26" s="181" t="n"/>
      <c r="E26" s="181" t="n"/>
      <c r="F26" s="181" t="n"/>
      <c r="G26" s="181" t="n"/>
      <c r="H26" s="181" t="n"/>
      <c r="I26" s="181" t="n"/>
      <c r="J26" s="181" t="n"/>
      <c r="K26" s="181" t="n"/>
      <c r="L26" s="181" t="n"/>
      <c r="M26" s="181" t="n"/>
      <c r="N26" s="181" t="n"/>
      <c r="O26" s="181" t="n"/>
      <c r="P26" s="181" t="n"/>
      <c r="Q26" s="181" t="n"/>
      <c r="R26" s="181" t="n"/>
      <c r="S26" s="181" t="n"/>
      <c r="T26" s="181" t="n"/>
      <c r="U26" s="181" t="n"/>
      <c r="V26" s="181" t="n"/>
      <c r="W26" s="181" t="n"/>
      <c r="X26" s="181" t="n"/>
      <c r="Y26" s="181" t="n"/>
    </row>
    <row r="27" ht="30" customHeight="1" s="164">
      <c r="A27" s="255" t="inlineStr">
        <is>
          <t>Güncel kaynak: TEK VBA MODÜLÜ!A5:A972 ve Mod_TeklifSistemi.bas</t>
        </is>
      </c>
    </row>
    <row r="28" ht="30" customHeight="1" s="164">
      <c r="A28" s="255" t="n"/>
      <c r="B28" s="255" t="n"/>
      <c r="C28" s="255" t="n"/>
      <c r="D28" s="255" t="n"/>
      <c r="E28" s="255" t="n"/>
      <c r="F28" s="255" t="n"/>
      <c r="G28" s="255" t="n"/>
      <c r="H28" s="255" t="n"/>
      <c r="I28" s="255" t="n"/>
      <c r="J28" s="255" t="n"/>
      <c r="K28" s="255" t="n"/>
      <c r="L28" s="255" t="n"/>
      <c r="M28" s="255" t="n"/>
      <c r="N28" s="255" t="n"/>
      <c r="O28" s="255" t="n"/>
      <c r="P28" s="255" t="n"/>
      <c r="Q28" s="255" t="n"/>
      <c r="R28" s="255" t="n"/>
      <c r="S28" s="255" t="n"/>
      <c r="T28" s="255" t="n"/>
      <c r="U28" s="255" t="n"/>
      <c r="V28" s="255" t="n"/>
      <c r="W28" s="255" t="n"/>
      <c r="X28" s="255" t="n"/>
      <c r="Y28" s="255" t="n"/>
    </row>
    <row r="29" ht="30" customHeight="1" s="164">
      <c r="A29" s="255" t="inlineStr">
        <is>
          <t>Son kontrol: 27 benzersiz yordam / 27 kapanış; tanımsız değişken, eksik etiket, blok ve tırnak hatası yok.</t>
        </is>
      </c>
    </row>
    <row r="30" ht="30" customHeight="1" s="164">
      <c r="A30" s="255" t="n"/>
      <c r="B30" s="255" t="n"/>
      <c r="C30" s="255" t="n"/>
      <c r="D30" s="255" t="n"/>
      <c r="E30" s="255" t="n"/>
      <c r="F30" s="255" t="n"/>
      <c r="G30" s="255" t="n"/>
      <c r="H30" s="255" t="n"/>
      <c r="I30" s="255" t="n"/>
      <c r="J30" s="255" t="n"/>
      <c r="K30" s="255" t="n"/>
      <c r="L30" s="255" t="n"/>
      <c r="M30" s="255" t="n"/>
      <c r="N30" s="255" t="n"/>
      <c r="O30" s="255" t="n"/>
      <c r="P30" s="255" t="n"/>
      <c r="Q30" s="255" t="n"/>
      <c r="R30" s="255" t="n"/>
      <c r="S30" s="255" t="n"/>
      <c r="T30" s="255" t="n"/>
      <c r="U30" s="255" t="n"/>
      <c r="V30" s="255" t="n"/>
      <c r="W30" s="255" t="n"/>
      <c r="X30" s="255" t="n"/>
      <c r="Y30" s="255" t="n"/>
    </row>
    <row r="31" ht="30" customHeight="1" s="164">
      <c r="A31" s="255" t="inlineStr">
        <is>
          <t>Kur ve teklif testi başarılı: 23/23 kur bağlantısı; genel toplam 125.812,25 TL.</t>
        </is>
      </c>
    </row>
    <row r="32" ht="30" customHeight="1" s="164">
      <c r="A32" s="255" t="n"/>
      <c r="B32" s="255" t="n"/>
      <c r="C32" s="255" t="n"/>
      <c r="D32" s="255" t="n"/>
      <c r="E32" s="255" t="n"/>
      <c r="F32" s="255" t="n"/>
      <c r="G32" s="255" t="n"/>
      <c r="H32" s="255" t="n"/>
      <c r="I32" s="255" t="n"/>
      <c r="J32" s="255" t="n"/>
      <c r="K32" s="255" t="n"/>
      <c r="L32" s="255" t="n"/>
      <c r="M32" s="255" t="n"/>
      <c r="N32" s="255" t="n"/>
      <c r="O32" s="255" t="n"/>
      <c r="P32" s="255" t="n"/>
      <c r="Q32" s="255" t="n"/>
      <c r="R32" s="255" t="n"/>
      <c r="S32" s="255" t="n"/>
      <c r="T32" s="255" t="n"/>
      <c r="U32" s="255" t="n"/>
      <c r="V32" s="255" t="n"/>
      <c r="W32" s="255" t="n"/>
      <c r="X32" s="255" t="n"/>
      <c r="Y32" s="255" t="n"/>
    </row>
    <row r="33" ht="30" customHeight="1" s="164">
      <c r="A33" s="255" t="inlineStr">
        <is>
          <t>Sonraki adım: Module1 içeriğini kaynakla tamamen değiştir → Debug &gt; Compile VBAProject → hata varsa ekran görüntüsüyle devam et.</t>
        </is>
      </c>
    </row>
    <row r="35">
      <c r="A35" s="254" t="inlineStr">
        <is>
          <t>SCREENSHOT_35 ÇÖZÜMÜ — KUR AYRIŞTIRICI v4</t>
        </is>
      </c>
    </row>
    <row r="37">
      <c r="A37" s="181" t="inlineStr">
        <is>
          <t>Runtime hata düzeltildi: İş Bankası hücresi “USD Amerikan Doları” olduğu için tam eşleşme kaldırıldı; hücre içinde USD/EUR/GBP araması kullanılıyor.</t>
        </is>
      </c>
    </row>
    <row r="38">
      <c r="A38" s="181" t="n"/>
      <c r="B38" s="181" t="n"/>
      <c r="C38" s="181" t="n"/>
      <c r="D38" s="181" t="n"/>
      <c r="E38" s="181" t="n"/>
      <c r="F38" s="181" t="n"/>
      <c r="G38" s="181" t="n"/>
      <c r="H38" s="181" t="n"/>
      <c r="I38" s="181" t="n"/>
      <c r="J38" s="181" t="n"/>
      <c r="K38" s="181" t="n"/>
      <c r="L38" s="181" t="n"/>
      <c r="M38" s="181" t="n"/>
      <c r="N38" s="181" t="n"/>
      <c r="O38" s="181" t="n"/>
      <c r="P38" s="181" t="n"/>
      <c r="Q38" s="181" t="n"/>
      <c r="R38" s="181" t="n"/>
      <c r="S38" s="181" t="n"/>
      <c r="T38" s="181" t="n"/>
      <c r="U38" s="181" t="n"/>
      <c r="V38" s="181" t="n"/>
      <c r="W38" s="181" t="n"/>
      <c r="X38" s="181" t="n"/>
      <c r="Y38" s="181" t="n"/>
    </row>
    <row r="39">
      <c r="A39" s="181" t="inlineStr">
        <is>
          <t>Module1 içeriğini yeniden TEK VBA MODÜLÜ!A5:Y569 ile tamamen değiştirin; Debug &gt; Compile; sonra IsBankasiKurlariGuncelleV3 çalıştırın. Mesaj sürümü v4 olmalıdır.</t>
        </is>
      </c>
    </row>
    <row r="41">
      <c r="A41" s="254" t="inlineStr">
        <is>
          <t>SCREENSHOT_36 ÇÖZÜMÜ — KUR v5 HAM HTML AYRIŞTIRICI</t>
        </is>
      </c>
    </row>
    <row r="43">
      <c r="A43" s="181" t="inlineStr">
        <is>
          <t>v4 tr/td tablosuna bağlı kaldığı için 0 döndürdü. v5, responseText içinde USD/EUR/GBP kodundan sonraki alış-satış oranlarını regex ile bulur ve yüksek olan Banka Satış değerini kullanır.</t>
        </is>
      </c>
    </row>
    <row r="44">
      <c r="A44" s="181" t="n"/>
      <c r="B44" s="181" t="n"/>
      <c r="C44" s="181" t="n"/>
      <c r="D44" s="181" t="n"/>
      <c r="E44" s="181" t="n"/>
      <c r="F44" s="181" t="n"/>
      <c r="G44" s="181" t="n"/>
      <c r="H44" s="181" t="n"/>
      <c r="I44" s="181" t="n"/>
      <c r="J44" s="181" t="n"/>
      <c r="K44" s="181" t="n"/>
      <c r="L44" s="181" t="n"/>
      <c r="M44" s="181" t="n"/>
      <c r="N44" s="181" t="n"/>
      <c r="O44" s="181" t="n"/>
      <c r="P44" s="181" t="n"/>
      <c r="Q44" s="181" t="n"/>
      <c r="R44" s="181" t="n"/>
      <c r="S44" s="181" t="n"/>
      <c r="T44" s="181" t="n"/>
      <c r="U44" s="181" t="n"/>
      <c r="V44" s="181" t="n"/>
      <c r="W44" s="181" t="n"/>
      <c r="X44" s="181" t="n"/>
      <c r="Y44" s="181" t="n"/>
    </row>
    <row r="45">
      <c r="A45" s="181" t="inlineStr">
        <is>
          <t>Module1’i TEK VBA MODÜLÜ!A5:Y569 ile tamamen değiştirin; Debug &gt; Compile; IsBankasiKurlariGuncelleV3 çalıştırın. Başarı mesajında sürüm v5 görünmelidir.</t>
        </is>
      </c>
    </row>
    <row r="47">
      <c r="A47" s="254" t="inlineStr">
        <is>
          <t>SÜREKLİ UYARI ÇÖZÜMÜ — v6</t>
        </is>
      </c>
    </row>
    <row r="49">
      <c r="A49" s="181" t="inlineStr">
        <is>
          <t>Çerez uyarısını oluşturan htmlfile tamamen kaldırıldı. Workbook_Open artık Sessiz=True ile çalışır; başarılı güncellemede mesaj göstermez. Manuel çalıştırmada başarı mesajı gösterilir.</t>
        </is>
      </c>
    </row>
    <row r="50">
      <c r="A50" s="181" t="n"/>
      <c r="B50" s="181" t="n"/>
      <c r="C50" s="181" t="n"/>
      <c r="D50" s="181" t="n"/>
      <c r="E50" s="181" t="n"/>
      <c r="F50" s="181" t="n"/>
      <c r="G50" s="181" t="n"/>
      <c r="H50" s="181" t="n"/>
      <c r="I50" s="181" t="n"/>
      <c r="J50" s="181" t="n"/>
      <c r="K50" s="181" t="n"/>
      <c r="L50" s="181" t="n"/>
      <c r="M50" s="181" t="n"/>
      <c r="N50" s="181" t="n"/>
      <c r="O50" s="181" t="n"/>
      <c r="P50" s="181" t="n"/>
      <c r="Q50" s="181" t="n"/>
      <c r="R50" s="181" t="n"/>
      <c r="S50" s="181" t="n"/>
      <c r="T50" s="181" t="n"/>
      <c r="U50" s="181" t="n"/>
      <c r="V50" s="181" t="n"/>
      <c r="W50" s="181" t="n"/>
      <c r="X50" s="181" t="n"/>
      <c r="Y50" s="181" t="n"/>
    </row>
    <row r="51">
      <c r="A51" s="181" t="inlineStr">
        <is>
          <t>Yanlış EUR 801,1159 düzeltildi. v6 yalnız 1–250 aralığında, satış&gt;alış ve farkı %25’ten küçük kur çiftini kabul eder. Module1 ve ThisWorkbook kodlarını yeniden yapıştırın.</t>
        </is>
      </c>
    </row>
    <row r="53">
      <c r="A53" s="254" t="inlineStr">
        <is>
          <t>MAKRO LİSTESİNDE GÖRÜNMEME ÇÖZÜMÜ</t>
        </is>
      </c>
    </row>
    <row r="55">
      <c r="A55" s="181" t="inlineStr">
        <is>
          <t>Neden: Optional Sessiz parametresi olan yordam Alt+F8 listesinde görünmez. Parametre kaldırıldı; IsBankasiKurlariGuncelleV3 artık yeniden görünür. Başarı MsgBox’ı kaldırıldı.</t>
        </is>
      </c>
    </row>
    <row r="56">
      <c r="A56" s="181" t="n"/>
      <c r="B56" s="181" t="n"/>
      <c r="C56" s="181" t="n"/>
      <c r="D56" s="181" t="n"/>
      <c r="E56" s="181" t="n"/>
      <c r="F56" s="181" t="n"/>
      <c r="G56" s="181" t="n"/>
      <c r="H56" s="181" t="n"/>
      <c r="I56" s="181" t="n"/>
      <c r="J56" s="181" t="n"/>
      <c r="K56" s="181" t="n"/>
      <c r="L56" s="181" t="n"/>
      <c r="M56" s="181" t="n"/>
      <c r="N56" s="181" t="n"/>
      <c r="O56" s="181" t="n"/>
      <c r="P56" s="181" t="n"/>
      <c r="Q56" s="181" t="n"/>
      <c r="R56" s="181" t="n"/>
      <c r="S56" s="181" t="n"/>
      <c r="T56" s="181" t="n"/>
      <c r="U56" s="181" t="n"/>
      <c r="V56" s="181" t="n"/>
      <c r="W56" s="181" t="n"/>
      <c r="X56" s="181" t="n"/>
      <c r="Y56" s="181" t="n"/>
    </row>
    <row r="57">
      <c r="A57" s="181" t="inlineStr">
        <is>
          <t>Module1’i TEK VBA MODÜLÜ!A5:Y569 ve BuÇalışmaKitabı’nı ThisWorkbook Kodu!B5:Y10 ile son kez güncelleyin; ardından Debug &gt; Compile.</t>
        </is>
      </c>
    </row>
    <row r="59">
      <c r="A59" s="254" t="inlineStr">
        <is>
          <t>MANUEL ÇALIŞTIRMA GERİ BİLDİRİMİ DÜZELTİLDİ</t>
        </is>
      </c>
    </row>
    <row r="61">
      <c r="A61" s="181" t="inlineStr">
        <is>
          <t>Alt+F8 → IsBankasiKurlariGuncelleV3 manuel çalıştırmada başarı penceresi gösterir. Dosya açılışında IsBankasiKurlariOtomatikV6 sessiz çalışır ve makro listesinde görünmez.</t>
        </is>
      </c>
    </row>
    <row r="62">
      <c r="A62" s="181" t="n"/>
      <c r="B62" s="181" t="n"/>
      <c r="C62" s="181" t="n"/>
      <c r="D62" s="181" t="n"/>
      <c r="E62" s="181" t="n"/>
      <c r="F62" s="181" t="n"/>
      <c r="G62" s="181" t="n"/>
      <c r="H62" s="181" t="n"/>
      <c r="I62" s="181" t="n"/>
      <c r="J62" s="181" t="n"/>
      <c r="K62" s="181" t="n"/>
      <c r="L62" s="181" t="n"/>
      <c r="M62" s="181" t="n"/>
      <c r="N62" s="181" t="n"/>
      <c r="O62" s="181" t="n"/>
      <c r="P62" s="181" t="n"/>
      <c r="Q62" s="181" t="n"/>
      <c r="R62" s="181" t="n"/>
      <c r="S62" s="181" t="n"/>
      <c r="T62" s="181" t="n"/>
      <c r="U62" s="181" t="n"/>
      <c r="V62" s="181" t="n"/>
      <c r="W62" s="181" t="n"/>
      <c r="X62" s="181" t="n"/>
      <c r="Y62" s="181" t="n"/>
    </row>
    <row r="63">
      <c r="A63" s="181" t="inlineStr">
        <is>
          <t>Module1 ve BuÇalışmaKitabı kaynaklarını yeniden uygulayın; ardından Debug &gt; Compile.</t>
        </is>
      </c>
    </row>
    <row r="65">
      <c r="A65" s="254" t="inlineStr">
        <is>
          <t>PDF HEDEF KLASÖRÜ AÇMA — v3</t>
        </is>
      </c>
    </row>
    <row r="67">
      <c r="A67" s="181" t="inlineStr">
        <is>
          <t>explorer.exe /select yöntemi kaldırıldı. PDFKlasoruAcV3, Shell.Application.Open ile doğrudan Masaüstü\Teklifler\PDF klasörünü açar. Module1’i güncel kaynakla tamamen değiştirin.</t>
        </is>
      </c>
    </row>
  </sheetData>
  <mergeCells count="34">
    <mergeCell ref="A57:Y57"/>
    <mergeCell ref="A33:Y33"/>
    <mergeCell ref="A47:Y47"/>
    <mergeCell ref="A5:Y5"/>
    <mergeCell ref="A23:Y23"/>
    <mergeCell ref="A17:Y17"/>
    <mergeCell ref="A35:Y35"/>
    <mergeCell ref="A53:Y53"/>
    <mergeCell ref="A29:Y29"/>
    <mergeCell ref="A43:Y43"/>
    <mergeCell ref="A19:Y19"/>
    <mergeCell ref="A63:Y63"/>
    <mergeCell ref="A13:Y13"/>
    <mergeCell ref="A9:Y9"/>
    <mergeCell ref="A67:Y67"/>
    <mergeCell ref="A31:Y31"/>
    <mergeCell ref="A39:Y39"/>
    <mergeCell ref="A15:Y15"/>
    <mergeCell ref="A59:Y59"/>
    <mergeCell ref="A11:Y11"/>
    <mergeCell ref="A49:Y49"/>
    <mergeCell ref="A51:Y51"/>
    <mergeCell ref="A1:Y1"/>
    <mergeCell ref="A45:Y45"/>
    <mergeCell ref="A61:Y61"/>
    <mergeCell ref="A7:Y7"/>
    <mergeCell ref="A25:Y25"/>
    <mergeCell ref="A65:Y65"/>
    <mergeCell ref="A41:Y41"/>
    <mergeCell ref="A37:Y37"/>
    <mergeCell ref="A27:Y27"/>
    <mergeCell ref="A3:Y3"/>
    <mergeCell ref="A21:Y21"/>
    <mergeCell ref="A55:Y5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ylçn Trn</dc:creator>
  <dcterms:created xsi:type="dcterms:W3CDTF">2026-09-26T21:35:27Z</dcterms:created>
  <dcterms:modified xsi:type="dcterms:W3CDTF">2026-10-21T10:19:04Z</dcterms:modified>
  <cp:lastModifiedBy>ylçn Trn</cp:lastModifiedBy>
  <cp:lastPrinted>2026-09-27T19:35:03Z</cp:lastPrinted>
</cp:coreProperties>
</file>